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X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237E"/>
      <sz val="9"/>
    </font>
    <font>
      <name val="Calibri"/>
      <b val="1"/>
      <color rgb="00212121"/>
      <sz val="9"/>
    </font>
    <font>
      <name val="Calibri"/>
      <b val="1"/>
      <color rgb="002E7D32"/>
      <sz val="9"/>
    </font>
    <font>
      <name val="Calibri"/>
      <b val="1"/>
      <color rgb="000D47A1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1A237E"/>
      <sz val="10"/>
    </font>
    <font>
      <name val="Calibri"/>
      <color rgb="002E7D32"/>
      <sz val="10"/>
    </font>
    <font>
      <name val="Calibri"/>
      <b val="1"/>
      <color rgb="002E7D32"/>
      <sz val="10"/>
    </font>
    <font>
      <name val="Calibri"/>
      <b val="1"/>
      <color rgb="001B3A6B"/>
      <sz val="8"/>
    </font>
    <font>
      <name val="Calibri"/>
      <b val="1"/>
      <color rgb="00212121"/>
      <sz val="8"/>
    </font>
    <font>
      <name val="Calibri"/>
      <b val="1"/>
      <color rgb="002E7D32"/>
      <sz val="8"/>
    </font>
    <font>
      <name val="Calibri"/>
      <b val="1"/>
      <color rgb="000D47A1"/>
      <sz val="8"/>
    </font>
    <font>
      <name val="Calibri"/>
      <b val="1"/>
      <color rgb="001B3A6B"/>
      <sz val="10"/>
    </font>
    <font>
      <name val="Calibri"/>
      <color rgb="001B3A6B"/>
      <sz val="9"/>
    </font>
    <font>
      <name val="Calibri"/>
      <color rgb="00212121"/>
      <sz val="9"/>
    </font>
    <font>
      <name val="Calibri"/>
      <color rgb="000D47A1"/>
      <sz val="9"/>
    </font>
    <font>
      <name val="Calibri"/>
      <b val="1"/>
      <color rgb="00FFFFFF"/>
      <sz val="12"/>
    </font>
    <font>
      <name val="Calibri"/>
      <b val="1"/>
      <color rgb="00FFFFFF"/>
      <sz val="8"/>
    </font>
    <font>
      <name val="Calibri"/>
      <color rgb="002E4057"/>
      <sz val="9"/>
    </font>
    <font>
      <name val="Calibri"/>
      <color rgb="00757575"/>
      <sz val="8"/>
    </font>
    <font>
      <name val="Calibri"/>
      <b val="1"/>
      <color rgb="002E4057"/>
      <sz val="9"/>
    </font>
    <font>
      <name val="Calibri"/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E3F2FD"/>
      </patternFill>
    </fill>
    <fill>
      <patternFill patternType="solid">
        <fgColor rgb="002E4057"/>
      </patternFill>
    </fill>
    <fill>
      <patternFill patternType="solid">
        <fgColor rgb="004A6FA5"/>
      </patternFill>
    </fill>
    <fill>
      <patternFill patternType="solid">
        <fgColor rgb="00546E7A"/>
      </patternFill>
    </fill>
    <fill>
      <patternFill patternType="solid">
        <fgColor rgb="00455A64"/>
      </patternFill>
    </fill>
    <fill>
      <patternFill patternType="solid">
        <fgColor rgb="0037474F"/>
      </patternFill>
    </fill>
    <fill>
      <patternFill patternType="solid">
        <fgColor rgb="004E6073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5F7FA"/>
      </patternFill>
    </fill>
  </fills>
  <borders count="4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left" vertical="center"/>
    </xf>
    <xf numFmtId="2" fontId="8" fillId="3" borderId="3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164" fontId="8" fillId="3" borderId="3" applyAlignment="1" pivotButton="0" quotePrefix="0" xfId="0">
      <alignment horizontal="center" vertical="center"/>
    </xf>
    <xf numFmtId="165" fontId="8" fillId="3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left" vertical="center"/>
    </xf>
    <xf numFmtId="2" fontId="10" fillId="6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0" fillId="8" borderId="0" pivotButton="0" quotePrefix="0" xfId="0"/>
    <xf numFmtId="0" fontId="6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5" fillId="3" borderId="3" applyAlignment="1" pivotButton="0" quotePrefix="0" xfId="0">
      <alignment horizontal="center" vertical="center"/>
    </xf>
    <xf numFmtId="0" fontId="16" fillId="3" borderId="3" applyAlignment="1" pivotButton="0" quotePrefix="0" xfId="0">
      <alignment horizontal="center" vertical="center"/>
    </xf>
    <xf numFmtId="164" fontId="17" fillId="4" borderId="3" applyAlignment="1" pivotButton="0" quotePrefix="0" xfId="0">
      <alignment horizontal="center" vertical="center"/>
    </xf>
    <xf numFmtId="164" fontId="17" fillId="5" borderId="3" applyAlignment="1" pivotButton="0" quotePrefix="0" xfId="0">
      <alignment horizontal="center" vertical="center"/>
    </xf>
    <xf numFmtId="164" fontId="4" fillId="6" borderId="3" applyAlignment="1" pivotButton="0" quotePrefix="0" xfId="0">
      <alignment horizontal="center" vertical="center"/>
    </xf>
    <xf numFmtId="164" fontId="18" fillId="7" borderId="3" applyAlignment="1" pivotButton="0" quotePrefix="0" xfId="0">
      <alignment horizontal="center" vertical="center"/>
    </xf>
    <xf numFmtId="0" fontId="15" fillId="14" borderId="3" applyAlignment="1" pivotButton="0" quotePrefix="0" xfId="0">
      <alignment horizontal="center" vertical="center"/>
    </xf>
    <xf numFmtId="0" fontId="16" fillId="14" borderId="3" applyAlignment="1" pivotButton="0" quotePrefix="0" xfId="0">
      <alignment horizontal="center" vertical="center"/>
    </xf>
    <xf numFmtId="0" fontId="15" fillId="15" borderId="3" applyAlignment="1" pivotButton="0" quotePrefix="0" xfId="0">
      <alignment horizontal="center" vertical="center"/>
    </xf>
    <xf numFmtId="0" fontId="16" fillId="15" borderId="3" applyAlignment="1" pivotButton="0" quotePrefix="0" xfId="0">
      <alignment horizontal="center" vertical="center"/>
    </xf>
    <xf numFmtId="2" fontId="4" fillId="6" borderId="3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/>
    </xf>
    <xf numFmtId="0" fontId="0" fillId="4" borderId="0" pivotButton="0" quotePrefix="0" xfId="0"/>
    <xf numFmtId="0" fontId="7" fillId="8" borderId="2" applyAlignment="1" pivotButton="0" quotePrefix="0" xfId="0">
      <alignment horizontal="left" vertical="center"/>
    </xf>
    <xf numFmtId="0" fontId="20" fillId="9" borderId="2" applyAlignment="1" pivotButton="0" quotePrefix="0" xfId="0">
      <alignment horizontal="center" vertical="center"/>
    </xf>
    <xf numFmtId="0" fontId="0" fillId="4" borderId="3" pivotButton="0" quotePrefix="0" xfId="0"/>
    <xf numFmtId="0" fontId="21" fillId="16" borderId="3" applyAlignment="1" pivotButton="0" quotePrefix="0" xfId="0">
      <alignment horizontal="left" vertical="center"/>
    </xf>
    <xf numFmtId="0" fontId="22" fillId="16" borderId="3" applyAlignment="1" pivotButton="0" quotePrefix="0" xfId="0">
      <alignment horizontal="left" vertical="center"/>
    </xf>
    <xf numFmtId="0" fontId="0" fillId="16" borderId="3" pivotButton="0" quotePrefix="0" xfId="0"/>
    <xf numFmtId="0" fontId="20" fillId="9" borderId="2" applyAlignment="1" pivotButton="0" quotePrefix="0" xfId="0">
      <alignment horizontal="left" vertical="center"/>
    </xf>
    <xf numFmtId="166" fontId="17" fillId="4" borderId="3" applyAlignment="1" pivotButton="0" quotePrefix="0" xfId="0">
      <alignment horizontal="center" vertical="center"/>
    </xf>
    <xf numFmtId="165" fontId="17" fillId="4" borderId="3" applyAlignment="1" pivotButton="0" quotePrefix="0" xfId="0">
      <alignment horizontal="center" vertical="center"/>
    </xf>
    <xf numFmtId="166" fontId="8" fillId="3" borderId="3" applyAlignment="1" pivotButton="0" quotePrefix="0" xfId="0">
      <alignment horizontal="center" vertical="center"/>
    </xf>
    <xf numFmtId="0" fontId="23" fillId="16" borderId="3" applyAlignment="1" pivotButton="0" quotePrefix="0" xfId="0">
      <alignment horizontal="left" vertical="center"/>
    </xf>
    <xf numFmtId="165" fontId="4" fillId="6" borderId="3" applyAlignment="1" pivotButton="0" quotePrefix="0" xfId="0">
      <alignment horizontal="center" vertical="center"/>
    </xf>
    <xf numFmtId="2" fontId="17" fillId="4" borderId="3" applyAlignment="1" pivotButton="0" quotePrefix="0" xfId="0">
      <alignment horizontal="center" vertical="center"/>
    </xf>
    <xf numFmtId="166" fontId="10" fillId="6" borderId="3" applyAlignment="1" pivotButton="0" quotePrefix="0" xfId="0">
      <alignment horizontal="center" vertical="center"/>
    </xf>
    <xf numFmtId="166" fontId="18" fillId="7" borderId="3" applyAlignment="1" pivotButton="0" quotePrefix="0" xfId="0">
      <alignment horizontal="center" vertical="center"/>
    </xf>
    <xf numFmtId="0" fontId="24" fillId="8" borderId="0" applyAlignment="1" pivotButton="0" quotePrefix="0" xfId="0">
      <alignment horizontal="left" vertical="center"/>
    </xf>
    <xf numFmtId="1" fontId="8" fillId="3" borderId="3" applyAlignment="1" pivotButton="0" quotePrefix="0" xfId="0">
      <alignment horizontal="center" vertical="center"/>
    </xf>
    <xf numFmtId="1" fontId="18" fillId="7" borderId="3" applyAlignment="1" pivotButton="0" quotePrefix="0" xfId="0">
      <alignment horizontal="center" vertical="center"/>
    </xf>
    <xf numFmtId="2" fontId="18" fillId="7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left" vertical="center"/>
    </xf>
    <xf numFmtId="0" fontId="0" fillId="16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8F5E9"/>
        </patternFill>
      </fill>
    </dxf>
    <dxf>
      <fill>
        <patternFill patternType="solid">
          <fgColor rgb="00F3E5F5"/>
        </patternFill>
      </fill>
    </dxf>
    <dxf>
      <fill>
        <patternFill patternType="solid">
          <fgColor rgb="00FFFD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Aqueous Distributions — Absolute</a:t>
            </a:r>
          </a:p>
        </rich>
      </tx>
    </title>
    <plotArea>
      <lineChart>
        <grouping val="standard"/>
        <ser>
          <idx val="0"/>
          <order val="0"/>
          <tx>
            <strRef>
              <f>'SX Model'!G48</f>
            </strRef>
          </tx>
          <spPr>
            <a:ln w="22000">
              <a:solidFill>
                <a:srgbClr val="1B3A6B"/>
              </a:solidFill>
              <a:prstDash val="solid"/>
            </a:ln>
          </spPr>
          <marker>
            <symbol val="circle"/>
            <size val="5"/>
            <spPr>
              <a:solidFill>
                <a:srgbClr val="1B3A6B"/>
              </a:solidFill>
              <a:ln>
                <a:solidFill>
                  <a:srgbClr val="1B3A6B"/>
                </a:solidFill>
                <a:prstDash val="solid"/>
              </a:ln>
            </spPr>
          </marker>
          <cat>
            <numRef>
              <f>'SX Model'!$A$48:$A$72</f>
            </numRef>
          </cat>
          <val>
            <numRef>
              <f>'SX Model'!$G$49:$G$72</f>
            </numRef>
          </val>
        </ser>
        <ser>
          <idx val="1"/>
          <order val="1"/>
          <tx>
            <strRef>
              <f>'SX Model'!F48</f>
            </strRef>
          </tx>
          <spPr>
            <a:ln w="22000">
              <a:solidFill>
                <a:srgbClr val="C07B30"/>
              </a:solidFill>
              <a:prstDash val="solid"/>
            </a:ln>
          </spPr>
          <marker>
            <symbol val="circle"/>
            <size val="5"/>
            <spPr>
              <a:solidFill>
                <a:srgbClr val="C07B30"/>
              </a:solidFill>
              <a:ln>
                <a:solidFill>
                  <a:srgbClr val="C07B30"/>
                </a:solidFill>
                <a:prstDash val="solid"/>
              </a:ln>
            </spPr>
          </marker>
          <cat>
            <numRef>
              <f>'SX Model'!$A$48:$A$72</f>
            </numRef>
          </cat>
          <val>
            <numRef>
              <f>'SX Model'!$F$49:$F$72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Aqueous Concentration  X  (g/L)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Aqueous Distributions — % of Total</a:t>
            </a:r>
          </a:p>
        </rich>
      </tx>
    </title>
    <plotArea>
      <lineChart>
        <grouping val="standard"/>
        <ser>
          <idx val="0"/>
          <order val="0"/>
          <tx>
            <strRef>
              <f>'SX Model'!H48</f>
            </strRef>
          </tx>
          <spPr>
            <a:ln w="22000">
              <a:solidFill>
                <a:srgbClr val="1B3A6B"/>
              </a:solidFill>
              <a:prstDash val="solid"/>
            </a:ln>
          </spPr>
          <marker>
            <symbol val="circle"/>
            <size val="5"/>
            <spPr>
              <a:solidFill>
                <a:srgbClr val="1B3A6B"/>
              </a:solidFill>
              <a:ln>
                <a:solidFill>
                  <a:srgbClr val="1B3A6B"/>
                </a:solidFill>
                <a:prstDash val="solid"/>
              </a:ln>
            </spPr>
          </marker>
          <cat>
            <numRef>
              <f>'SX Model'!$A$48:$A$72</f>
            </numRef>
          </cat>
          <val>
            <numRef>
              <f>'SX Model'!$H$49:$H$72</f>
            </numRef>
          </val>
        </ser>
        <ser>
          <idx val="1"/>
          <order val="1"/>
          <tx>
            <strRef>
              <f>'SX Model'!I48</f>
            </strRef>
          </tx>
          <spPr>
            <a:ln w="22000">
              <a:solidFill>
                <a:srgbClr val="C07B30"/>
              </a:solidFill>
              <a:prstDash val="solid"/>
            </a:ln>
          </spPr>
          <marker>
            <symbol val="circle"/>
            <size val="5"/>
            <spPr>
              <a:solidFill>
                <a:srgbClr val="C07B30"/>
              </a:solidFill>
              <a:ln>
                <a:solidFill>
                  <a:srgbClr val="C07B30"/>
                </a:solidFill>
                <a:prstDash val="solid"/>
              </a:ln>
            </spPr>
          </marker>
          <cat>
            <numRef>
              <f>'SX Model'!$A$48:$A$72</f>
            </numRef>
          </cat>
          <val>
            <numRef>
              <f>'SX Model'!$I$49:$I$72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Stage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Aqueous Distribution  (%)</a:t>
                </a:r>
              </a:p>
            </rich>
          </tx>
        </title>
        <numFmt formatCode="0&quot;%&quot;" sourceLinked="0"/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74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74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AN18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2" customWidth="1" min="39" max="39"/>
    <col width="12" customWidth="1" min="40" max="40"/>
  </cols>
  <sheetData>
    <row r="1" ht="30" customHeight="1">
      <c r="A1" s="1" t="inlineStr">
        <is>
          <t>SX STEADY-STATE MODEL  ·  Alind Formulation  ·  D2EHPA / HCl  ·  TDMA Direct Solver</t>
        </is>
      </c>
    </row>
    <row r="2" ht="18" customHeight="1">
      <c r="A2" s="2" t="inlineStr">
        <is>
          <t>INPUT — hard-coded value</t>
        </is>
      </c>
      <c r="E2" s="3" t="inlineStr">
        <is>
          <t>CALC — intermediate formula</t>
        </is>
      </c>
      <c r="I2" s="4" t="inlineStr">
        <is>
          <t>STEP — TDMA sweep (c′ d′)</t>
        </is>
      </c>
      <c r="M2" s="5" t="inlineStr">
        <is>
          <t>OUTPUT — solution / result</t>
        </is>
      </c>
      <c r="Q2" s="6" t="inlineStr">
        <is>
          <t>REF — derived / linked</t>
        </is>
      </c>
    </row>
    <row r="3" ht="6" customHeight="1"/>
    <row r="4">
      <c r="A4" s="7" t="inlineStr">
        <is>
          <t xml:space="preserve">  GENERAL INPUTS</t>
        </is>
      </c>
      <c r="F4" s="7" t="inlineStr">
        <is>
          <t xml:space="preserve">  DISTRIBUTION COEFFICIENTS   D = P × [HCl]^Q</t>
        </is>
      </c>
      <c r="K4" s="7" t="inlineStr">
        <is>
          <t xml:space="preserve">  FEED CONCENTRATIONS</t>
        </is>
      </c>
      <c r="O4" s="7" t="inlineStr">
        <is>
          <t xml:space="preserve">  RESULTS SUMMARY</t>
        </is>
      </c>
      <c r="R4" s="7" t="inlineStr">
        <is>
          <t xml:space="preserve">  O/A RATIO TRACKER</t>
        </is>
      </c>
    </row>
    <row r="5" ht="16" customHeight="1">
      <c r="A5" s="8" t="inlineStr">
        <is>
          <t>Parameter</t>
        </is>
      </c>
      <c r="B5" s="8" t="inlineStr">
        <is>
          <t>Value</t>
        </is>
      </c>
      <c r="F5" s="8" t="inlineStr">
        <is>
          <t>Element</t>
        </is>
      </c>
      <c r="H5" s="8" t="inlineStr">
        <is>
          <t>P</t>
        </is>
      </c>
      <c r="I5" s="8" t="inlineStr">
        <is>
          <t>Q</t>
        </is>
      </c>
      <c r="K5" s="8" t="inlineStr">
        <is>
          <t>Element</t>
        </is>
      </c>
      <c r="M5" s="8" t="inlineStr">
        <is>
          <t>Feed (g/L)</t>
        </is>
      </c>
      <c r="O5" s="8" t="inlineStr">
        <is>
          <t>Metric</t>
        </is>
      </c>
      <c r="P5" s="8" t="inlineStr">
        <is>
          <t>Value</t>
        </is>
      </c>
      <c r="R5" s="8" t="inlineStr">
        <is>
          <t>Section</t>
        </is>
      </c>
      <c r="S5" s="8" t="inlineStr">
        <is>
          <t>O/A</t>
        </is>
      </c>
      <c r="T5" s="8" t="inlineStr">
        <is>
          <t>Status</t>
        </is>
      </c>
    </row>
    <row r="6">
      <c r="A6" s="9" t="inlineStr">
        <is>
          <t>Extraction Stages  (n_ext)</t>
        </is>
      </c>
      <c r="B6" s="10" t="n">
        <v>10</v>
      </c>
      <c r="F6" s="11" t="inlineStr">
        <is>
          <t>Pr</t>
        </is>
      </c>
      <c r="H6" s="12" t="n">
        <v>0.0008</v>
      </c>
      <c r="I6" s="13" t="n">
        <v>-1.973</v>
      </c>
      <c r="K6" s="11" t="inlineStr">
        <is>
          <t>Pr</t>
        </is>
      </c>
      <c r="M6" s="10" t="n">
        <v>0</v>
      </c>
      <c r="O6" s="14" t="inlineStr">
        <is>
          <t>Loaded Organic @ Extraction Exit (g/L)</t>
        </is>
      </c>
      <c r="P6" s="15">
        <f>INDEX($AM:$AM,19+$B$6)</f>
        <v/>
      </c>
      <c r="R6" s="9" t="inlineStr">
        <is>
          <t>Extraction</t>
        </is>
      </c>
      <c r="S6" s="15">
        <f>IF(($B$13*$B$15+$B$12)=0,0,$B$14/($B$13*$B$15+$B$12))</f>
        <v/>
      </c>
      <c r="T6" s="16">
        <f>IF(S6=0,"—",IF(S6&lt;0.5,"LOW — flood risk",IF(S6&gt;5,"HIGH — underloading","OK")))</f>
        <v/>
      </c>
    </row>
    <row r="7">
      <c r="A7" s="9" t="inlineStr">
        <is>
          <t>Scrub Stages  (n_scr)</t>
        </is>
      </c>
      <c r="B7" s="10" t="n">
        <v>10</v>
      </c>
      <c r="F7" s="11" t="inlineStr">
        <is>
          <t>Nd</t>
        </is>
      </c>
      <c r="H7" s="12" t="n">
        <v>0.0031</v>
      </c>
      <c r="I7" s="13" t="n">
        <v>-2.541</v>
      </c>
      <c r="K7" s="11" t="inlineStr">
        <is>
          <t>Nd</t>
        </is>
      </c>
      <c r="M7" s="10" t="n">
        <v>20.8</v>
      </c>
      <c r="O7" s="14" t="inlineStr">
        <is>
          <t>Raffinate — Nd  (g/L)</t>
        </is>
      </c>
      <c r="P7" s="15">
        <f>$AJ$20</f>
        <v/>
      </c>
      <c r="R7" s="9" t="inlineStr">
        <is>
          <t>Scrub</t>
        </is>
      </c>
      <c r="S7" s="15">
        <f>IF(($B$13*$B$15)=0,0,$B$14/($B$13*$B$15))</f>
        <v/>
      </c>
      <c r="T7" s="16">
        <f>IF(S7=0,"—",IF(S7&lt;0.5,"LOW — flood risk",IF(S7&gt;5,"HIGH — underloading","OK")))</f>
        <v/>
      </c>
    </row>
    <row r="8">
      <c r="A8" s="9" t="inlineStr">
        <is>
          <t>Strip Stages  (n_str)</t>
        </is>
      </c>
      <c r="B8" s="10" t="n">
        <v>5</v>
      </c>
      <c r="F8" s="11" t="inlineStr">
        <is>
          <t>Tb</t>
        </is>
      </c>
      <c r="H8" s="12" t="n">
        <v>0.378</v>
      </c>
      <c r="I8" s="13" t="n">
        <v>-2.624</v>
      </c>
      <c r="K8" s="11" t="inlineStr">
        <is>
          <t>Tb</t>
        </is>
      </c>
      <c r="M8" s="10" t="n">
        <v>0</v>
      </c>
      <c r="O8" s="14" t="inlineStr">
        <is>
          <t>Raffinate — Dy  (g/L)</t>
        </is>
      </c>
      <c r="P8" s="15">
        <f>$AL$20</f>
        <v/>
      </c>
      <c r="R8" s="9" t="inlineStr">
        <is>
          <t>Strip</t>
        </is>
      </c>
      <c r="S8" s="15">
        <f>IF($B$13=0,0,$B$14/$B$13)</f>
        <v/>
      </c>
      <c r="T8" s="16">
        <f>IF(S8=0,"—",IF(S8&lt;0.5,"LOW — flood risk",IF(S8&gt;5,"HIGH — underloading","OK")))</f>
        <v/>
      </c>
    </row>
    <row r="9">
      <c r="A9" s="9" t="inlineStr">
        <is>
          <t>HCl Normality — Extraction  [N]</t>
        </is>
      </c>
      <c r="B9" s="10" t="n">
        <v>0.5</v>
      </c>
      <c r="F9" s="11" t="inlineStr">
        <is>
          <t>Dy</t>
        </is>
      </c>
      <c r="H9" s="12" t="n">
        <v>0.5959</v>
      </c>
      <c r="I9" s="13" t="n">
        <v>-2.431</v>
      </c>
      <c r="K9" s="11" t="inlineStr">
        <is>
          <t>Dy</t>
        </is>
      </c>
      <c r="M9" s="10" t="n">
        <v>2.68</v>
      </c>
      <c r="O9" s="14" t="inlineStr">
        <is>
          <t>Preg — Nd  (g/L)</t>
        </is>
      </c>
      <c r="P9" s="15">
        <f>INDEX($AJ:$AJ,20+$B$6+$B$7)</f>
        <v/>
      </c>
    </row>
    <row r="10">
      <c r="A10" s="9" t="inlineStr">
        <is>
          <t>HCl Normality — Scrub  [N]</t>
        </is>
      </c>
      <c r="B10" s="10" t="n">
        <v>1.37</v>
      </c>
      <c r="O10" s="14" t="inlineStr">
        <is>
          <t>Preg — Dy  (g/L)</t>
        </is>
      </c>
      <c r="P10" s="15">
        <f>INDEX($AL:$AL,20+$B$6+$B$7)</f>
        <v/>
      </c>
    </row>
    <row r="11">
      <c r="A11" s="9" t="inlineStr">
        <is>
          <t>HCl Normality — Strip  [N]</t>
        </is>
      </c>
      <c r="B11" s="10" t="n">
        <v>5</v>
      </c>
      <c r="O11" s="14" t="inlineStr">
        <is>
          <t>% Feed  —  Nd</t>
        </is>
      </c>
      <c r="P11" s="15">
        <f>IF(($M$6+$M$7+$M$8+$M$9)=0,0,$M$7/($M$6+$M$7+$M$8+$M$9)*100)</f>
        <v/>
      </c>
    </row>
    <row r="12">
      <c r="A12" s="9" t="inlineStr">
        <is>
          <t>Feed Flowrate  (F)</t>
        </is>
      </c>
      <c r="B12" s="10" t="n">
        <v>25</v>
      </c>
      <c r="O12" s="14" t="inlineStr">
        <is>
          <t>% Feed  —  Dy</t>
        </is>
      </c>
      <c r="P12" s="15">
        <f>IF(($M$6+$M$7+$M$8+$M$9)=0,0,$M$9/($M$6+$M$7+$M$8+$M$9)*100)</f>
        <v/>
      </c>
    </row>
    <row r="13">
      <c r="A13" s="9" t="inlineStr">
        <is>
          <t>Strip Flowrate  (S)</t>
        </is>
      </c>
      <c r="B13" s="10" t="n">
        <v>12</v>
      </c>
      <c r="O13" s="14" t="inlineStr">
        <is>
          <t>% Purity in Raffinate  —  Nd</t>
        </is>
      </c>
      <c r="P13" s="15">
        <f>IF(($AI$20+$AJ$20+$AK$20+$AL$20)=0,0,$AJ$20/($AI$20+$AJ$20+$AK$20+$AL$20)*100)</f>
        <v/>
      </c>
    </row>
    <row r="14">
      <c r="A14" s="9" t="inlineStr">
        <is>
          <t>Organic Flow  (O)</t>
        </is>
      </c>
      <c r="B14" s="10" t="n">
        <v>32.5</v>
      </c>
      <c r="O14" s="14" t="inlineStr">
        <is>
          <t>% Purity in Preg  —  Dy</t>
        </is>
      </c>
      <c r="P14" s="15">
        <f>IF((INDEX($AI:$AI,20+$B$6+$B$7)+INDEX($AJ:$AJ,20+$B$6+$B$7)+INDEX($AK:$AK,20+$B$6+$B$7)+INDEX($AL:$AL,20+$B$6+$B$7))=0,0,INDEX($AL:$AL,20+$B$6+$B$7)/(INDEX($AI:$AI,20+$B$6+$B$7)+INDEX($AJ:$AJ,20+$B$6+$B$7)+INDEX($AK:$AK,20+$B$6+$B$7)+INDEX($AL:$AL,20+$B$6+$B$7))*100)</f>
        <v/>
      </c>
    </row>
    <row r="15">
      <c r="A15" s="9" t="inlineStr">
        <is>
          <t>Reflux  (R)  [decimal: 0.70 = 70%]</t>
        </is>
      </c>
      <c r="B15" s="10" t="n">
        <v>0.7</v>
      </c>
      <c r="O15" s="14" t="inlineStr">
        <is>
          <t>Scrub Flowrate  =  S × R</t>
        </is>
      </c>
      <c r="P15" s="15">
        <f>$B$13*$B$15</f>
        <v/>
      </c>
    </row>
    <row r="16" ht="6" customHeight="1">
      <c r="O16" s="14" t="inlineStr">
        <is>
          <t>Preg Flowrate   =  S × (1−R)</t>
        </is>
      </c>
      <c r="P16" s="15">
        <f>$B$13*(1-$B$15)</f>
        <v/>
      </c>
    </row>
    <row r="17" ht="20" customHeight="1">
      <c r="A17" s="7" t="inlineStr">
        <is>
          <t>SOLVER  ·  TDMA (Thomas Algorithm)  ·  Columns:  D_i  |  a  b  c  d  (matrix)  |  c′  d′  (forward sweep →)  |  y_org  (back substitution ←)  |  x_aq  (aqueous output)</t>
        </is>
      </c>
    </row>
    <row r="18" ht="18" customHeight="1">
      <c r="A18" s="17" t="n"/>
      <c r="C18" s="18" t="inlineStr">
        <is>
          <t>Pr  (8 columns)</t>
        </is>
      </c>
      <c r="K18" s="19" t="inlineStr">
        <is>
          <t>Nd  (8 columns)</t>
        </is>
      </c>
      <c r="S18" s="20" t="inlineStr">
        <is>
          <t>Tb  (8 columns)</t>
        </is>
      </c>
      <c r="AA18" s="21" t="inlineStr">
        <is>
          <t>Dy  (8 columns)</t>
        </is>
      </c>
      <c r="AI18" s="22" t="inlineStr">
        <is>
          <t>Aqueous  x_i</t>
        </is>
      </c>
      <c r="AM18" s="22" t="inlineStr">
        <is>
          <t>Totals</t>
        </is>
      </c>
    </row>
    <row r="19" ht="26" customHeight="1">
      <c r="A19" s="8" t="inlineStr">
        <is>
          <t>Stage</t>
        </is>
      </c>
      <c r="B19" s="8" t="inlineStr">
        <is>
          <t>Section</t>
        </is>
      </c>
      <c r="C19" s="23" t="inlineStr">
        <is>
          <t>D_i</t>
        </is>
      </c>
      <c r="D19" s="23" t="inlineStr">
        <is>
          <t>a</t>
        </is>
      </c>
      <c r="E19" s="23" t="inlineStr">
        <is>
          <t>b</t>
        </is>
      </c>
      <c r="F19" s="23" t="inlineStr">
        <is>
          <t>c</t>
        </is>
      </c>
      <c r="G19" s="23" t="inlineStr">
        <is>
          <t>d (RHS)</t>
        </is>
      </c>
      <c r="H19" s="24" t="inlineStr">
        <is>
          <t>c′ →</t>
        </is>
      </c>
      <c r="I19" s="24" t="inlineStr">
        <is>
          <t>d′ →</t>
        </is>
      </c>
      <c r="J19" s="25" t="inlineStr">
        <is>
          <t>y_org ←</t>
        </is>
      </c>
      <c r="K19" s="23" t="inlineStr">
        <is>
          <t>D_i</t>
        </is>
      </c>
      <c r="L19" s="23" t="inlineStr">
        <is>
          <t>a</t>
        </is>
      </c>
      <c r="M19" s="23" t="inlineStr">
        <is>
          <t>b</t>
        </is>
      </c>
      <c r="N19" s="23" t="inlineStr">
        <is>
          <t>c</t>
        </is>
      </c>
      <c r="O19" s="23" t="inlineStr">
        <is>
          <t>d (RHS)</t>
        </is>
      </c>
      <c r="P19" s="24" t="inlineStr">
        <is>
          <t>c′ →</t>
        </is>
      </c>
      <c r="Q19" s="24" t="inlineStr">
        <is>
          <t>d′ →</t>
        </is>
      </c>
      <c r="R19" s="25" t="inlineStr">
        <is>
          <t>y_org ←</t>
        </is>
      </c>
      <c r="S19" s="23" t="inlineStr">
        <is>
          <t>D_i</t>
        </is>
      </c>
      <c r="T19" s="23" t="inlineStr">
        <is>
          <t>a</t>
        </is>
      </c>
      <c r="U19" s="23" t="inlineStr">
        <is>
          <t>b</t>
        </is>
      </c>
      <c r="V19" s="23" t="inlineStr">
        <is>
          <t>c</t>
        </is>
      </c>
      <c r="W19" s="23" t="inlineStr">
        <is>
          <t>d (RHS)</t>
        </is>
      </c>
      <c r="X19" s="24" t="inlineStr">
        <is>
          <t>c′ →</t>
        </is>
      </c>
      <c r="Y19" s="24" t="inlineStr">
        <is>
          <t>d′ →</t>
        </is>
      </c>
      <c r="Z19" s="25" t="inlineStr">
        <is>
          <t>y_org ←</t>
        </is>
      </c>
      <c r="AA19" s="23" t="inlineStr">
        <is>
          <t>D_i</t>
        </is>
      </c>
      <c r="AB19" s="23" t="inlineStr">
        <is>
          <t>a</t>
        </is>
      </c>
      <c r="AC19" s="23" t="inlineStr">
        <is>
          <t>b</t>
        </is>
      </c>
      <c r="AD19" s="23" t="inlineStr">
        <is>
          <t>c</t>
        </is>
      </c>
      <c r="AE19" s="23" t="inlineStr">
        <is>
          <t>d (RHS)</t>
        </is>
      </c>
      <c r="AF19" s="24" t="inlineStr">
        <is>
          <t>c′ →</t>
        </is>
      </c>
      <c r="AG19" s="24" t="inlineStr">
        <is>
          <t>d′ →</t>
        </is>
      </c>
      <c r="AH19" s="25" t="inlineStr">
        <is>
          <t>y_org ←</t>
        </is>
      </c>
      <c r="AI19" s="26" t="inlineStr">
        <is>
          <t>x_Pr</t>
        </is>
      </c>
      <c r="AJ19" s="26" t="inlineStr">
        <is>
          <t>x_Nd</t>
        </is>
      </c>
      <c r="AK19" s="26" t="inlineStr">
        <is>
          <t>x_Tb</t>
        </is>
      </c>
      <c r="AL19" s="26" t="inlineStr">
        <is>
          <t>x_Dy</t>
        </is>
      </c>
      <c r="AM19" s="27" t="inlineStr">
        <is>
          <t>Σ Organic</t>
        </is>
      </c>
      <c r="AN19" s="27" t="inlineStr">
        <is>
          <t>Σ Aqueous</t>
        </is>
      </c>
    </row>
    <row r="20">
      <c r="A20" s="28" t="n">
        <v>1</v>
      </c>
      <c r="B20" s="29">
        <f>IF(A20&lt;=$B$6,"Extraction",IF(A20&lt;=$B$6+$B$7,"Scrub","Strip"))</f>
        <v/>
      </c>
      <c r="C20" s="30">
        <f>IF(A20&lt;=$B$6,$H$6*$B$9^$I$6,IF(A20&lt;=$B$6+$B$7,$H$6*$B$10^$I$6,$H$6*$B$11^$I$6))</f>
        <v/>
      </c>
      <c r="D20" s="30">
        <f>IF(A20=1,0,$B$14)</f>
        <v/>
      </c>
      <c r="E20" s="30">
        <f>IF(A20&gt;$B$6+$B$7,-$B$14-$B$13/C20,IF(A20&gt;$B$6,-$B$14-$B$13*$B$15/C20,-$B$14-($B$13*$B$15+$B$12)/C20))</f>
        <v/>
      </c>
      <c r="F20" s="30">
        <f>IF(A20&gt;$B$6+$B$7,$B$13/C21,IF(A20&gt;=$B$6,$B$13*$B$15/C21,($B$13*$B$15+$B$12)/C21))</f>
        <v/>
      </c>
      <c r="G20" s="30">
        <f>IF(A20=$B$6,-$M$6*$B$12,0)</f>
        <v/>
      </c>
      <c r="H20" s="31">
        <f>F20/E20</f>
        <v/>
      </c>
      <c r="I20" s="31">
        <f>G20/E20</f>
        <v/>
      </c>
      <c r="J20" s="32">
        <f>I20-H20*J21</f>
        <v/>
      </c>
      <c r="K20" s="30">
        <f>IF(A20&lt;=$B$6,$H$7*$B$9^$I$7,IF(A20&lt;=$B$6+$B$7,$H$7*$B$10^$I$7,$H$7*$B$11^$I$7))</f>
        <v/>
      </c>
      <c r="L20" s="30">
        <f>IF(A20=1,0,$B$14)</f>
        <v/>
      </c>
      <c r="M20" s="30">
        <f>IF(A20&gt;$B$6+$B$7,-$B$14-$B$13/K20,IF(A20&gt;$B$6,-$B$14-$B$13*$B$15/K20,-$B$14-($B$13*$B$15+$B$12)/K20))</f>
        <v/>
      </c>
      <c r="N20" s="30">
        <f>IF(A20&gt;$B$6+$B$7,$B$13/K21,IF(A20&gt;=$B$6,$B$13*$B$15/K21,($B$13*$B$15+$B$12)/K21))</f>
        <v/>
      </c>
      <c r="O20" s="30">
        <f>IF(A20=$B$6,-$M$7*$B$12,0)</f>
        <v/>
      </c>
      <c r="P20" s="31">
        <f>N20/M20</f>
        <v/>
      </c>
      <c r="Q20" s="31">
        <f>O20/M20</f>
        <v/>
      </c>
      <c r="R20" s="32">
        <f>Q20-P20*R21</f>
        <v/>
      </c>
      <c r="S20" s="30">
        <f>IF(A20&lt;=$B$6,$H$8*$B$9^$I$8,IF(A20&lt;=$B$6+$B$7,$H$8*$B$10^$I$8,$H$8*$B$11^$I$8))</f>
        <v/>
      </c>
      <c r="T20" s="30">
        <f>IF(A20=1,0,$B$14)</f>
        <v/>
      </c>
      <c r="U20" s="30">
        <f>IF(A20&gt;$B$6+$B$7,-$B$14-$B$13/S20,IF(A20&gt;$B$6,-$B$14-$B$13*$B$15/S20,-$B$14-($B$13*$B$15+$B$12)/S20))</f>
        <v/>
      </c>
      <c r="V20" s="30">
        <f>IF(A20&gt;$B$6+$B$7,$B$13/S21,IF(A20&gt;=$B$6,$B$13*$B$15/S21,($B$13*$B$15+$B$12)/S21))</f>
        <v/>
      </c>
      <c r="W20" s="30">
        <f>IF(A20=$B$6,-$M$8*$B$12,0)</f>
        <v/>
      </c>
      <c r="X20" s="31">
        <f>V20/U20</f>
        <v/>
      </c>
      <c r="Y20" s="31">
        <f>W20/U20</f>
        <v/>
      </c>
      <c r="Z20" s="32">
        <f>Y20-X20*Z21</f>
        <v/>
      </c>
      <c r="AA20" s="30">
        <f>IF(A20&lt;=$B$6,$H$9*$B$9^$I$9,IF(A20&lt;=$B$6+$B$7,$H$9*$B$10^$I$9,$H$9*$B$11^$I$9))</f>
        <v/>
      </c>
      <c r="AB20" s="30">
        <f>IF(A20=1,0,$B$14)</f>
        <v/>
      </c>
      <c r="AC20" s="30">
        <f>IF(A20&gt;$B$6+$B$7,-$B$14-$B$13/AA20,IF(A20&gt;$B$6,-$B$14-$B$13*$B$15/AA20,-$B$14-($B$13*$B$15+$B$12)/AA20))</f>
        <v/>
      </c>
      <c r="AD20" s="30">
        <f>IF(A20&gt;$B$6+$B$7,$B$13/AA21,IF(A20&gt;=$B$6,$B$13*$B$15/AA21,($B$13*$B$15+$B$12)/AA21))</f>
        <v/>
      </c>
      <c r="AE20" s="30">
        <f>IF(A20=$B$6,-$M$9*$B$12,0)</f>
        <v/>
      </c>
      <c r="AF20" s="31">
        <f>AD20/AC20</f>
        <v/>
      </c>
      <c r="AG20" s="31">
        <f>AE20/AC20</f>
        <v/>
      </c>
      <c r="AH20" s="32">
        <f>AG20-AF20*AH21</f>
        <v/>
      </c>
      <c r="AI20" s="33">
        <f>IF(C20&lt;&gt;0,J20/C20,0)</f>
        <v/>
      </c>
      <c r="AJ20" s="33">
        <f>IF(K20&lt;&gt;0,R20/K20,0)</f>
        <v/>
      </c>
      <c r="AK20" s="33">
        <f>IF(S20&lt;&gt;0,Z20/S20,0)</f>
        <v/>
      </c>
      <c r="AL20" s="33">
        <f>IF(AA20&lt;&gt;0,AH20/AA20,0)</f>
        <v/>
      </c>
      <c r="AM20" s="32">
        <f>J20+R20+Z20+AH20</f>
        <v/>
      </c>
      <c r="AN20" s="32">
        <f>AI20+AJ20+AK20+AL20</f>
        <v/>
      </c>
    </row>
    <row r="21">
      <c r="A21" s="28" t="n">
        <v>2</v>
      </c>
      <c r="B21" s="29">
        <f>IF(A21&lt;=$B$6,"Extraction",IF(A21&lt;=$B$6+$B$7,"Scrub","Strip"))</f>
        <v/>
      </c>
      <c r="C21" s="30">
        <f>IF(A21&lt;=$B$6,$H$6*$B$9^$I$6,IF(A21&lt;=$B$6+$B$7,$H$6*$B$10^$I$6,$H$6*$B$11^$I$6))</f>
        <v/>
      </c>
      <c r="D21" s="30">
        <f>IF(A21=1,0,$B$14)</f>
        <v/>
      </c>
      <c r="E21" s="30">
        <f>IF(A21&gt;$B$6+$B$7,-$B$14-$B$13/C21,IF(A21&gt;$B$6,-$B$14-$B$13*$B$15/C21,-$B$14-($B$13*$B$15+$B$12)/C21))</f>
        <v/>
      </c>
      <c r="F21" s="30">
        <f>IF(A21&gt;$B$6+$B$7,$B$13/C22,IF(A21&gt;=$B$6,$B$13*$B$15/C22,($B$13*$B$15+$B$12)/C22))</f>
        <v/>
      </c>
      <c r="G21" s="30">
        <f>IF(A21=$B$6,-$M$6*$B$12,0)</f>
        <v/>
      </c>
      <c r="H21" s="31">
        <f>F21/(E21-D21*H20)</f>
        <v/>
      </c>
      <c r="I21" s="31">
        <f>(G21-D21*I20)/(E21-D21*H20)</f>
        <v/>
      </c>
      <c r="J21" s="32">
        <f>I21-H21*J22</f>
        <v/>
      </c>
      <c r="K21" s="30">
        <f>IF(A21&lt;=$B$6,$H$7*$B$9^$I$7,IF(A21&lt;=$B$6+$B$7,$H$7*$B$10^$I$7,$H$7*$B$11^$I$7))</f>
        <v/>
      </c>
      <c r="L21" s="30">
        <f>IF(A21=1,0,$B$14)</f>
        <v/>
      </c>
      <c r="M21" s="30">
        <f>IF(A21&gt;$B$6+$B$7,-$B$14-$B$13/K21,IF(A21&gt;$B$6,-$B$14-$B$13*$B$15/K21,-$B$14-($B$13*$B$15+$B$12)/K21))</f>
        <v/>
      </c>
      <c r="N21" s="30">
        <f>IF(A21&gt;$B$6+$B$7,$B$13/K22,IF(A21&gt;=$B$6,$B$13*$B$15/K22,($B$13*$B$15+$B$12)/K22))</f>
        <v/>
      </c>
      <c r="O21" s="30">
        <f>IF(A21=$B$6,-$M$7*$B$12,0)</f>
        <v/>
      </c>
      <c r="P21" s="31">
        <f>N21/(M21-L21*P20)</f>
        <v/>
      </c>
      <c r="Q21" s="31">
        <f>(O21-L21*Q20)/(M21-L21*P20)</f>
        <v/>
      </c>
      <c r="R21" s="32">
        <f>Q21-P21*R22</f>
        <v/>
      </c>
      <c r="S21" s="30">
        <f>IF(A21&lt;=$B$6,$H$8*$B$9^$I$8,IF(A21&lt;=$B$6+$B$7,$H$8*$B$10^$I$8,$H$8*$B$11^$I$8))</f>
        <v/>
      </c>
      <c r="T21" s="30">
        <f>IF(A21=1,0,$B$14)</f>
        <v/>
      </c>
      <c r="U21" s="30">
        <f>IF(A21&gt;$B$6+$B$7,-$B$14-$B$13/S21,IF(A21&gt;$B$6,-$B$14-$B$13*$B$15/S21,-$B$14-($B$13*$B$15+$B$12)/S21))</f>
        <v/>
      </c>
      <c r="V21" s="30">
        <f>IF(A21&gt;$B$6+$B$7,$B$13/S22,IF(A21&gt;=$B$6,$B$13*$B$15/S22,($B$13*$B$15+$B$12)/S22))</f>
        <v/>
      </c>
      <c r="W21" s="30">
        <f>IF(A21=$B$6,-$M$8*$B$12,0)</f>
        <v/>
      </c>
      <c r="X21" s="31">
        <f>V21/(U21-T21*X20)</f>
        <v/>
      </c>
      <c r="Y21" s="31">
        <f>(W21-T21*Y20)/(U21-T21*X20)</f>
        <v/>
      </c>
      <c r="Z21" s="32">
        <f>Y21-X21*Z22</f>
        <v/>
      </c>
      <c r="AA21" s="30">
        <f>IF(A21&lt;=$B$6,$H$9*$B$9^$I$9,IF(A21&lt;=$B$6+$B$7,$H$9*$B$10^$I$9,$H$9*$B$11^$I$9))</f>
        <v/>
      </c>
      <c r="AB21" s="30">
        <f>IF(A21=1,0,$B$14)</f>
        <v/>
      </c>
      <c r="AC21" s="30">
        <f>IF(A21&gt;$B$6+$B$7,-$B$14-$B$13/AA21,IF(A21&gt;$B$6,-$B$14-$B$13*$B$15/AA21,-$B$14-($B$13*$B$15+$B$12)/AA21))</f>
        <v/>
      </c>
      <c r="AD21" s="30">
        <f>IF(A21&gt;$B$6+$B$7,$B$13/AA22,IF(A21&gt;=$B$6,$B$13*$B$15/AA22,($B$13*$B$15+$B$12)/AA22))</f>
        <v/>
      </c>
      <c r="AE21" s="30">
        <f>IF(A21=$B$6,-$M$9*$B$12,0)</f>
        <v/>
      </c>
      <c r="AF21" s="31">
        <f>AD21/(AC21-AB21*AF20)</f>
        <v/>
      </c>
      <c r="AG21" s="31">
        <f>(AE21-AB21*AG20)/(AC21-AB21*AF20)</f>
        <v/>
      </c>
      <c r="AH21" s="32">
        <f>AG21-AF21*AH22</f>
        <v/>
      </c>
      <c r="AI21" s="33">
        <f>IF(C21&lt;&gt;0,J21/C21,0)</f>
        <v/>
      </c>
      <c r="AJ21" s="33">
        <f>IF(K21&lt;&gt;0,R21/K21,0)</f>
        <v/>
      </c>
      <c r="AK21" s="33">
        <f>IF(S21&lt;&gt;0,Z21/S21,0)</f>
        <v/>
      </c>
      <c r="AL21" s="33">
        <f>IF(AA21&lt;&gt;0,AH21/AA21,0)</f>
        <v/>
      </c>
      <c r="AM21" s="32">
        <f>J21+R21+Z21+AH21</f>
        <v/>
      </c>
      <c r="AN21" s="32">
        <f>AI21+AJ21+AK21+AL21</f>
        <v/>
      </c>
    </row>
    <row r="22">
      <c r="A22" s="28" t="n">
        <v>3</v>
      </c>
      <c r="B22" s="29">
        <f>IF(A22&lt;=$B$6,"Extraction",IF(A22&lt;=$B$6+$B$7,"Scrub","Strip"))</f>
        <v/>
      </c>
      <c r="C22" s="30">
        <f>IF(A22&lt;=$B$6,$H$6*$B$9^$I$6,IF(A22&lt;=$B$6+$B$7,$H$6*$B$10^$I$6,$H$6*$B$11^$I$6))</f>
        <v/>
      </c>
      <c r="D22" s="30">
        <f>IF(A22=1,0,$B$14)</f>
        <v/>
      </c>
      <c r="E22" s="30">
        <f>IF(A22&gt;$B$6+$B$7,-$B$14-$B$13/C22,IF(A22&gt;$B$6,-$B$14-$B$13*$B$15/C22,-$B$14-($B$13*$B$15+$B$12)/C22))</f>
        <v/>
      </c>
      <c r="F22" s="30">
        <f>IF(A22&gt;$B$6+$B$7,$B$13/C23,IF(A22&gt;=$B$6,$B$13*$B$15/C23,($B$13*$B$15+$B$12)/C23))</f>
        <v/>
      </c>
      <c r="G22" s="30">
        <f>IF(A22=$B$6,-$M$6*$B$12,0)</f>
        <v/>
      </c>
      <c r="H22" s="31">
        <f>F22/(E22-D22*H21)</f>
        <v/>
      </c>
      <c r="I22" s="31">
        <f>(G22-D22*I21)/(E22-D22*H21)</f>
        <v/>
      </c>
      <c r="J22" s="32">
        <f>I22-H22*J23</f>
        <v/>
      </c>
      <c r="K22" s="30">
        <f>IF(A22&lt;=$B$6,$H$7*$B$9^$I$7,IF(A22&lt;=$B$6+$B$7,$H$7*$B$10^$I$7,$H$7*$B$11^$I$7))</f>
        <v/>
      </c>
      <c r="L22" s="30">
        <f>IF(A22=1,0,$B$14)</f>
        <v/>
      </c>
      <c r="M22" s="30">
        <f>IF(A22&gt;$B$6+$B$7,-$B$14-$B$13/K22,IF(A22&gt;$B$6,-$B$14-$B$13*$B$15/K22,-$B$14-($B$13*$B$15+$B$12)/K22))</f>
        <v/>
      </c>
      <c r="N22" s="30">
        <f>IF(A22&gt;$B$6+$B$7,$B$13/K23,IF(A22&gt;=$B$6,$B$13*$B$15/K23,($B$13*$B$15+$B$12)/K23))</f>
        <v/>
      </c>
      <c r="O22" s="30">
        <f>IF(A22=$B$6,-$M$7*$B$12,0)</f>
        <v/>
      </c>
      <c r="P22" s="31">
        <f>N22/(M22-L22*P21)</f>
        <v/>
      </c>
      <c r="Q22" s="31">
        <f>(O22-L22*Q21)/(M22-L22*P21)</f>
        <v/>
      </c>
      <c r="R22" s="32">
        <f>Q22-P22*R23</f>
        <v/>
      </c>
      <c r="S22" s="30">
        <f>IF(A22&lt;=$B$6,$H$8*$B$9^$I$8,IF(A22&lt;=$B$6+$B$7,$H$8*$B$10^$I$8,$H$8*$B$11^$I$8))</f>
        <v/>
      </c>
      <c r="T22" s="30">
        <f>IF(A22=1,0,$B$14)</f>
        <v/>
      </c>
      <c r="U22" s="30">
        <f>IF(A22&gt;$B$6+$B$7,-$B$14-$B$13/S22,IF(A22&gt;$B$6,-$B$14-$B$13*$B$15/S22,-$B$14-($B$13*$B$15+$B$12)/S22))</f>
        <v/>
      </c>
      <c r="V22" s="30">
        <f>IF(A22&gt;$B$6+$B$7,$B$13/S23,IF(A22&gt;=$B$6,$B$13*$B$15/S23,($B$13*$B$15+$B$12)/S23))</f>
        <v/>
      </c>
      <c r="W22" s="30">
        <f>IF(A22=$B$6,-$M$8*$B$12,0)</f>
        <v/>
      </c>
      <c r="X22" s="31">
        <f>V22/(U22-T22*X21)</f>
        <v/>
      </c>
      <c r="Y22" s="31">
        <f>(W22-T22*Y21)/(U22-T22*X21)</f>
        <v/>
      </c>
      <c r="Z22" s="32">
        <f>Y22-X22*Z23</f>
        <v/>
      </c>
      <c r="AA22" s="30">
        <f>IF(A22&lt;=$B$6,$H$9*$B$9^$I$9,IF(A22&lt;=$B$6+$B$7,$H$9*$B$10^$I$9,$H$9*$B$11^$I$9))</f>
        <v/>
      </c>
      <c r="AB22" s="30">
        <f>IF(A22=1,0,$B$14)</f>
        <v/>
      </c>
      <c r="AC22" s="30">
        <f>IF(A22&gt;$B$6+$B$7,-$B$14-$B$13/AA22,IF(A22&gt;$B$6,-$B$14-$B$13*$B$15/AA22,-$B$14-($B$13*$B$15+$B$12)/AA22))</f>
        <v/>
      </c>
      <c r="AD22" s="30">
        <f>IF(A22&gt;$B$6+$B$7,$B$13/AA23,IF(A22&gt;=$B$6,$B$13*$B$15/AA23,($B$13*$B$15+$B$12)/AA23))</f>
        <v/>
      </c>
      <c r="AE22" s="30">
        <f>IF(A22=$B$6,-$M$9*$B$12,0)</f>
        <v/>
      </c>
      <c r="AF22" s="31">
        <f>AD22/(AC22-AB22*AF21)</f>
        <v/>
      </c>
      <c r="AG22" s="31">
        <f>(AE22-AB22*AG21)/(AC22-AB22*AF21)</f>
        <v/>
      </c>
      <c r="AH22" s="32">
        <f>AG22-AF22*AH23</f>
        <v/>
      </c>
      <c r="AI22" s="33">
        <f>IF(C22&lt;&gt;0,J22/C22,0)</f>
        <v/>
      </c>
      <c r="AJ22" s="33">
        <f>IF(K22&lt;&gt;0,R22/K22,0)</f>
        <v/>
      </c>
      <c r="AK22" s="33">
        <f>IF(S22&lt;&gt;0,Z22/S22,0)</f>
        <v/>
      </c>
      <c r="AL22" s="33">
        <f>IF(AA22&lt;&gt;0,AH22/AA22,0)</f>
        <v/>
      </c>
      <c r="AM22" s="32">
        <f>J22+R22+Z22+AH22</f>
        <v/>
      </c>
      <c r="AN22" s="32">
        <f>AI22+AJ22+AK22+AL22</f>
        <v/>
      </c>
    </row>
    <row r="23">
      <c r="A23" s="28" t="n">
        <v>4</v>
      </c>
      <c r="B23" s="29">
        <f>IF(A23&lt;=$B$6,"Extraction",IF(A23&lt;=$B$6+$B$7,"Scrub","Strip"))</f>
        <v/>
      </c>
      <c r="C23" s="30">
        <f>IF(A23&lt;=$B$6,$H$6*$B$9^$I$6,IF(A23&lt;=$B$6+$B$7,$H$6*$B$10^$I$6,$H$6*$B$11^$I$6))</f>
        <v/>
      </c>
      <c r="D23" s="30">
        <f>IF(A23=1,0,$B$14)</f>
        <v/>
      </c>
      <c r="E23" s="30">
        <f>IF(A23&gt;$B$6+$B$7,-$B$14-$B$13/C23,IF(A23&gt;$B$6,-$B$14-$B$13*$B$15/C23,-$B$14-($B$13*$B$15+$B$12)/C23))</f>
        <v/>
      </c>
      <c r="F23" s="30">
        <f>IF(A23&gt;$B$6+$B$7,$B$13/C24,IF(A23&gt;=$B$6,$B$13*$B$15/C24,($B$13*$B$15+$B$12)/C24))</f>
        <v/>
      </c>
      <c r="G23" s="30">
        <f>IF(A23=$B$6,-$M$6*$B$12,0)</f>
        <v/>
      </c>
      <c r="H23" s="31">
        <f>F23/(E23-D23*H22)</f>
        <v/>
      </c>
      <c r="I23" s="31">
        <f>(G23-D23*I22)/(E23-D23*H22)</f>
        <v/>
      </c>
      <c r="J23" s="32">
        <f>I23-H23*J24</f>
        <v/>
      </c>
      <c r="K23" s="30">
        <f>IF(A23&lt;=$B$6,$H$7*$B$9^$I$7,IF(A23&lt;=$B$6+$B$7,$H$7*$B$10^$I$7,$H$7*$B$11^$I$7))</f>
        <v/>
      </c>
      <c r="L23" s="30">
        <f>IF(A23=1,0,$B$14)</f>
        <v/>
      </c>
      <c r="M23" s="30">
        <f>IF(A23&gt;$B$6+$B$7,-$B$14-$B$13/K23,IF(A23&gt;$B$6,-$B$14-$B$13*$B$15/K23,-$B$14-($B$13*$B$15+$B$12)/K23))</f>
        <v/>
      </c>
      <c r="N23" s="30">
        <f>IF(A23&gt;$B$6+$B$7,$B$13/K24,IF(A23&gt;=$B$6,$B$13*$B$15/K24,($B$13*$B$15+$B$12)/K24))</f>
        <v/>
      </c>
      <c r="O23" s="30">
        <f>IF(A23=$B$6,-$M$7*$B$12,0)</f>
        <v/>
      </c>
      <c r="P23" s="31">
        <f>N23/(M23-L23*P22)</f>
        <v/>
      </c>
      <c r="Q23" s="31">
        <f>(O23-L23*Q22)/(M23-L23*P22)</f>
        <v/>
      </c>
      <c r="R23" s="32">
        <f>Q23-P23*R24</f>
        <v/>
      </c>
      <c r="S23" s="30">
        <f>IF(A23&lt;=$B$6,$H$8*$B$9^$I$8,IF(A23&lt;=$B$6+$B$7,$H$8*$B$10^$I$8,$H$8*$B$11^$I$8))</f>
        <v/>
      </c>
      <c r="T23" s="30">
        <f>IF(A23=1,0,$B$14)</f>
        <v/>
      </c>
      <c r="U23" s="30">
        <f>IF(A23&gt;$B$6+$B$7,-$B$14-$B$13/S23,IF(A23&gt;$B$6,-$B$14-$B$13*$B$15/S23,-$B$14-($B$13*$B$15+$B$12)/S23))</f>
        <v/>
      </c>
      <c r="V23" s="30">
        <f>IF(A23&gt;$B$6+$B$7,$B$13/S24,IF(A23&gt;=$B$6,$B$13*$B$15/S24,($B$13*$B$15+$B$12)/S24))</f>
        <v/>
      </c>
      <c r="W23" s="30">
        <f>IF(A23=$B$6,-$M$8*$B$12,0)</f>
        <v/>
      </c>
      <c r="X23" s="31">
        <f>V23/(U23-T23*X22)</f>
        <v/>
      </c>
      <c r="Y23" s="31">
        <f>(W23-T23*Y22)/(U23-T23*X22)</f>
        <v/>
      </c>
      <c r="Z23" s="32">
        <f>Y23-X23*Z24</f>
        <v/>
      </c>
      <c r="AA23" s="30">
        <f>IF(A23&lt;=$B$6,$H$9*$B$9^$I$9,IF(A23&lt;=$B$6+$B$7,$H$9*$B$10^$I$9,$H$9*$B$11^$I$9))</f>
        <v/>
      </c>
      <c r="AB23" s="30">
        <f>IF(A23=1,0,$B$14)</f>
        <v/>
      </c>
      <c r="AC23" s="30">
        <f>IF(A23&gt;$B$6+$B$7,-$B$14-$B$13/AA23,IF(A23&gt;$B$6,-$B$14-$B$13*$B$15/AA23,-$B$14-($B$13*$B$15+$B$12)/AA23))</f>
        <v/>
      </c>
      <c r="AD23" s="30">
        <f>IF(A23&gt;$B$6+$B$7,$B$13/AA24,IF(A23&gt;=$B$6,$B$13*$B$15/AA24,($B$13*$B$15+$B$12)/AA24))</f>
        <v/>
      </c>
      <c r="AE23" s="30">
        <f>IF(A23=$B$6,-$M$9*$B$12,0)</f>
        <v/>
      </c>
      <c r="AF23" s="31">
        <f>AD23/(AC23-AB23*AF22)</f>
        <v/>
      </c>
      <c r="AG23" s="31">
        <f>(AE23-AB23*AG22)/(AC23-AB23*AF22)</f>
        <v/>
      </c>
      <c r="AH23" s="32">
        <f>AG23-AF23*AH24</f>
        <v/>
      </c>
      <c r="AI23" s="33">
        <f>IF(C23&lt;&gt;0,J23/C23,0)</f>
        <v/>
      </c>
      <c r="AJ23" s="33">
        <f>IF(K23&lt;&gt;0,R23/K23,0)</f>
        <v/>
      </c>
      <c r="AK23" s="33">
        <f>IF(S23&lt;&gt;0,Z23/S23,0)</f>
        <v/>
      </c>
      <c r="AL23" s="33">
        <f>IF(AA23&lt;&gt;0,AH23/AA23,0)</f>
        <v/>
      </c>
      <c r="AM23" s="32">
        <f>J23+R23+Z23+AH23</f>
        <v/>
      </c>
      <c r="AN23" s="32">
        <f>AI23+AJ23+AK23+AL23</f>
        <v/>
      </c>
    </row>
    <row r="24">
      <c r="A24" s="28" t="n">
        <v>5</v>
      </c>
      <c r="B24" s="29">
        <f>IF(A24&lt;=$B$6,"Extraction",IF(A24&lt;=$B$6+$B$7,"Scrub","Strip"))</f>
        <v/>
      </c>
      <c r="C24" s="30">
        <f>IF(A24&lt;=$B$6,$H$6*$B$9^$I$6,IF(A24&lt;=$B$6+$B$7,$H$6*$B$10^$I$6,$H$6*$B$11^$I$6))</f>
        <v/>
      </c>
      <c r="D24" s="30">
        <f>IF(A24=1,0,$B$14)</f>
        <v/>
      </c>
      <c r="E24" s="30">
        <f>IF(A24&gt;$B$6+$B$7,-$B$14-$B$13/C24,IF(A24&gt;$B$6,-$B$14-$B$13*$B$15/C24,-$B$14-($B$13*$B$15+$B$12)/C24))</f>
        <v/>
      </c>
      <c r="F24" s="30">
        <f>IF(A24&gt;$B$6+$B$7,$B$13/C25,IF(A24&gt;=$B$6,$B$13*$B$15/C25,($B$13*$B$15+$B$12)/C25))</f>
        <v/>
      </c>
      <c r="G24" s="30">
        <f>IF(A24=$B$6,-$M$6*$B$12,0)</f>
        <v/>
      </c>
      <c r="H24" s="31">
        <f>F24/(E24-D24*H23)</f>
        <v/>
      </c>
      <c r="I24" s="31">
        <f>(G24-D24*I23)/(E24-D24*H23)</f>
        <v/>
      </c>
      <c r="J24" s="32">
        <f>I24-H24*J25</f>
        <v/>
      </c>
      <c r="K24" s="30">
        <f>IF(A24&lt;=$B$6,$H$7*$B$9^$I$7,IF(A24&lt;=$B$6+$B$7,$H$7*$B$10^$I$7,$H$7*$B$11^$I$7))</f>
        <v/>
      </c>
      <c r="L24" s="30">
        <f>IF(A24=1,0,$B$14)</f>
        <v/>
      </c>
      <c r="M24" s="30">
        <f>IF(A24&gt;$B$6+$B$7,-$B$14-$B$13/K24,IF(A24&gt;$B$6,-$B$14-$B$13*$B$15/K24,-$B$14-($B$13*$B$15+$B$12)/K24))</f>
        <v/>
      </c>
      <c r="N24" s="30">
        <f>IF(A24&gt;$B$6+$B$7,$B$13/K25,IF(A24&gt;=$B$6,$B$13*$B$15/K25,($B$13*$B$15+$B$12)/K25))</f>
        <v/>
      </c>
      <c r="O24" s="30">
        <f>IF(A24=$B$6,-$M$7*$B$12,0)</f>
        <v/>
      </c>
      <c r="P24" s="31">
        <f>N24/(M24-L24*P23)</f>
        <v/>
      </c>
      <c r="Q24" s="31">
        <f>(O24-L24*Q23)/(M24-L24*P23)</f>
        <v/>
      </c>
      <c r="R24" s="32">
        <f>Q24-P24*R25</f>
        <v/>
      </c>
      <c r="S24" s="30">
        <f>IF(A24&lt;=$B$6,$H$8*$B$9^$I$8,IF(A24&lt;=$B$6+$B$7,$H$8*$B$10^$I$8,$H$8*$B$11^$I$8))</f>
        <v/>
      </c>
      <c r="T24" s="30">
        <f>IF(A24=1,0,$B$14)</f>
        <v/>
      </c>
      <c r="U24" s="30">
        <f>IF(A24&gt;$B$6+$B$7,-$B$14-$B$13/S24,IF(A24&gt;$B$6,-$B$14-$B$13*$B$15/S24,-$B$14-($B$13*$B$15+$B$12)/S24))</f>
        <v/>
      </c>
      <c r="V24" s="30">
        <f>IF(A24&gt;$B$6+$B$7,$B$13/S25,IF(A24&gt;=$B$6,$B$13*$B$15/S25,($B$13*$B$15+$B$12)/S25))</f>
        <v/>
      </c>
      <c r="W24" s="30">
        <f>IF(A24=$B$6,-$M$8*$B$12,0)</f>
        <v/>
      </c>
      <c r="X24" s="31">
        <f>V24/(U24-T24*X23)</f>
        <v/>
      </c>
      <c r="Y24" s="31">
        <f>(W24-T24*Y23)/(U24-T24*X23)</f>
        <v/>
      </c>
      <c r="Z24" s="32">
        <f>Y24-X24*Z25</f>
        <v/>
      </c>
      <c r="AA24" s="30">
        <f>IF(A24&lt;=$B$6,$H$9*$B$9^$I$9,IF(A24&lt;=$B$6+$B$7,$H$9*$B$10^$I$9,$H$9*$B$11^$I$9))</f>
        <v/>
      </c>
      <c r="AB24" s="30">
        <f>IF(A24=1,0,$B$14)</f>
        <v/>
      </c>
      <c r="AC24" s="30">
        <f>IF(A24&gt;$B$6+$B$7,-$B$14-$B$13/AA24,IF(A24&gt;$B$6,-$B$14-$B$13*$B$15/AA24,-$B$14-($B$13*$B$15+$B$12)/AA24))</f>
        <v/>
      </c>
      <c r="AD24" s="30">
        <f>IF(A24&gt;$B$6+$B$7,$B$13/AA25,IF(A24&gt;=$B$6,$B$13*$B$15/AA25,($B$13*$B$15+$B$12)/AA25))</f>
        <v/>
      </c>
      <c r="AE24" s="30">
        <f>IF(A24=$B$6,-$M$9*$B$12,0)</f>
        <v/>
      </c>
      <c r="AF24" s="31">
        <f>AD24/(AC24-AB24*AF23)</f>
        <v/>
      </c>
      <c r="AG24" s="31">
        <f>(AE24-AB24*AG23)/(AC24-AB24*AF23)</f>
        <v/>
      </c>
      <c r="AH24" s="32">
        <f>AG24-AF24*AH25</f>
        <v/>
      </c>
      <c r="AI24" s="33">
        <f>IF(C24&lt;&gt;0,J24/C24,0)</f>
        <v/>
      </c>
      <c r="AJ24" s="33">
        <f>IF(K24&lt;&gt;0,R24/K24,0)</f>
        <v/>
      </c>
      <c r="AK24" s="33">
        <f>IF(S24&lt;&gt;0,Z24/S24,0)</f>
        <v/>
      </c>
      <c r="AL24" s="33">
        <f>IF(AA24&lt;&gt;0,AH24/AA24,0)</f>
        <v/>
      </c>
      <c r="AM24" s="32">
        <f>J24+R24+Z24+AH24</f>
        <v/>
      </c>
      <c r="AN24" s="32">
        <f>AI24+AJ24+AK24+AL24</f>
        <v/>
      </c>
    </row>
    <row r="25">
      <c r="A25" s="28" t="n">
        <v>6</v>
      </c>
      <c r="B25" s="29">
        <f>IF(A25&lt;=$B$6,"Extraction",IF(A25&lt;=$B$6+$B$7,"Scrub","Strip"))</f>
        <v/>
      </c>
      <c r="C25" s="30">
        <f>IF(A25&lt;=$B$6,$H$6*$B$9^$I$6,IF(A25&lt;=$B$6+$B$7,$H$6*$B$10^$I$6,$H$6*$B$11^$I$6))</f>
        <v/>
      </c>
      <c r="D25" s="30">
        <f>IF(A25=1,0,$B$14)</f>
        <v/>
      </c>
      <c r="E25" s="30">
        <f>IF(A25&gt;$B$6+$B$7,-$B$14-$B$13/C25,IF(A25&gt;$B$6,-$B$14-$B$13*$B$15/C25,-$B$14-($B$13*$B$15+$B$12)/C25))</f>
        <v/>
      </c>
      <c r="F25" s="30">
        <f>IF(A25&gt;$B$6+$B$7,$B$13/C26,IF(A25&gt;=$B$6,$B$13*$B$15/C26,($B$13*$B$15+$B$12)/C26))</f>
        <v/>
      </c>
      <c r="G25" s="30">
        <f>IF(A25=$B$6,-$M$6*$B$12,0)</f>
        <v/>
      </c>
      <c r="H25" s="31">
        <f>F25/(E25-D25*H24)</f>
        <v/>
      </c>
      <c r="I25" s="31">
        <f>(G25-D25*I24)/(E25-D25*H24)</f>
        <v/>
      </c>
      <c r="J25" s="32">
        <f>I25-H25*J26</f>
        <v/>
      </c>
      <c r="K25" s="30">
        <f>IF(A25&lt;=$B$6,$H$7*$B$9^$I$7,IF(A25&lt;=$B$6+$B$7,$H$7*$B$10^$I$7,$H$7*$B$11^$I$7))</f>
        <v/>
      </c>
      <c r="L25" s="30">
        <f>IF(A25=1,0,$B$14)</f>
        <v/>
      </c>
      <c r="M25" s="30">
        <f>IF(A25&gt;$B$6+$B$7,-$B$14-$B$13/K25,IF(A25&gt;$B$6,-$B$14-$B$13*$B$15/K25,-$B$14-($B$13*$B$15+$B$12)/K25))</f>
        <v/>
      </c>
      <c r="N25" s="30">
        <f>IF(A25&gt;$B$6+$B$7,$B$13/K26,IF(A25&gt;=$B$6,$B$13*$B$15/K26,($B$13*$B$15+$B$12)/K26))</f>
        <v/>
      </c>
      <c r="O25" s="30">
        <f>IF(A25=$B$6,-$M$7*$B$12,0)</f>
        <v/>
      </c>
      <c r="P25" s="31">
        <f>N25/(M25-L25*P24)</f>
        <v/>
      </c>
      <c r="Q25" s="31">
        <f>(O25-L25*Q24)/(M25-L25*P24)</f>
        <v/>
      </c>
      <c r="R25" s="32">
        <f>Q25-P25*R26</f>
        <v/>
      </c>
      <c r="S25" s="30">
        <f>IF(A25&lt;=$B$6,$H$8*$B$9^$I$8,IF(A25&lt;=$B$6+$B$7,$H$8*$B$10^$I$8,$H$8*$B$11^$I$8))</f>
        <v/>
      </c>
      <c r="T25" s="30">
        <f>IF(A25=1,0,$B$14)</f>
        <v/>
      </c>
      <c r="U25" s="30">
        <f>IF(A25&gt;$B$6+$B$7,-$B$14-$B$13/S25,IF(A25&gt;$B$6,-$B$14-$B$13*$B$15/S25,-$B$14-($B$13*$B$15+$B$12)/S25))</f>
        <v/>
      </c>
      <c r="V25" s="30">
        <f>IF(A25&gt;$B$6+$B$7,$B$13/S26,IF(A25&gt;=$B$6,$B$13*$B$15/S26,($B$13*$B$15+$B$12)/S26))</f>
        <v/>
      </c>
      <c r="W25" s="30">
        <f>IF(A25=$B$6,-$M$8*$B$12,0)</f>
        <v/>
      </c>
      <c r="X25" s="31">
        <f>V25/(U25-T25*X24)</f>
        <v/>
      </c>
      <c r="Y25" s="31">
        <f>(W25-T25*Y24)/(U25-T25*X24)</f>
        <v/>
      </c>
      <c r="Z25" s="32">
        <f>Y25-X25*Z26</f>
        <v/>
      </c>
      <c r="AA25" s="30">
        <f>IF(A25&lt;=$B$6,$H$9*$B$9^$I$9,IF(A25&lt;=$B$6+$B$7,$H$9*$B$10^$I$9,$H$9*$B$11^$I$9))</f>
        <v/>
      </c>
      <c r="AB25" s="30">
        <f>IF(A25=1,0,$B$14)</f>
        <v/>
      </c>
      <c r="AC25" s="30">
        <f>IF(A25&gt;$B$6+$B$7,-$B$14-$B$13/AA25,IF(A25&gt;$B$6,-$B$14-$B$13*$B$15/AA25,-$B$14-($B$13*$B$15+$B$12)/AA25))</f>
        <v/>
      </c>
      <c r="AD25" s="30">
        <f>IF(A25&gt;$B$6+$B$7,$B$13/AA26,IF(A25&gt;=$B$6,$B$13*$B$15/AA26,($B$13*$B$15+$B$12)/AA26))</f>
        <v/>
      </c>
      <c r="AE25" s="30">
        <f>IF(A25=$B$6,-$M$9*$B$12,0)</f>
        <v/>
      </c>
      <c r="AF25" s="31">
        <f>AD25/(AC25-AB25*AF24)</f>
        <v/>
      </c>
      <c r="AG25" s="31">
        <f>(AE25-AB25*AG24)/(AC25-AB25*AF24)</f>
        <v/>
      </c>
      <c r="AH25" s="32">
        <f>AG25-AF25*AH26</f>
        <v/>
      </c>
      <c r="AI25" s="33">
        <f>IF(C25&lt;&gt;0,J25/C25,0)</f>
        <v/>
      </c>
      <c r="AJ25" s="33">
        <f>IF(K25&lt;&gt;0,R25/K25,0)</f>
        <v/>
      </c>
      <c r="AK25" s="33">
        <f>IF(S25&lt;&gt;0,Z25/S25,0)</f>
        <v/>
      </c>
      <c r="AL25" s="33">
        <f>IF(AA25&lt;&gt;0,AH25/AA25,0)</f>
        <v/>
      </c>
      <c r="AM25" s="32">
        <f>J25+R25+Z25+AH25</f>
        <v/>
      </c>
      <c r="AN25" s="32">
        <f>AI25+AJ25+AK25+AL25</f>
        <v/>
      </c>
    </row>
    <row r="26">
      <c r="A26" s="28" t="n">
        <v>7</v>
      </c>
      <c r="B26" s="29">
        <f>IF(A26&lt;=$B$6,"Extraction",IF(A26&lt;=$B$6+$B$7,"Scrub","Strip"))</f>
        <v/>
      </c>
      <c r="C26" s="30">
        <f>IF(A26&lt;=$B$6,$H$6*$B$9^$I$6,IF(A26&lt;=$B$6+$B$7,$H$6*$B$10^$I$6,$H$6*$B$11^$I$6))</f>
        <v/>
      </c>
      <c r="D26" s="30">
        <f>IF(A26=1,0,$B$14)</f>
        <v/>
      </c>
      <c r="E26" s="30">
        <f>IF(A26&gt;$B$6+$B$7,-$B$14-$B$13/C26,IF(A26&gt;$B$6,-$B$14-$B$13*$B$15/C26,-$B$14-($B$13*$B$15+$B$12)/C26))</f>
        <v/>
      </c>
      <c r="F26" s="30">
        <f>IF(A26&gt;$B$6+$B$7,$B$13/C27,IF(A26&gt;=$B$6,$B$13*$B$15/C27,($B$13*$B$15+$B$12)/C27))</f>
        <v/>
      </c>
      <c r="G26" s="30">
        <f>IF(A26=$B$6,-$M$6*$B$12,0)</f>
        <v/>
      </c>
      <c r="H26" s="31">
        <f>F26/(E26-D26*H25)</f>
        <v/>
      </c>
      <c r="I26" s="31">
        <f>(G26-D26*I25)/(E26-D26*H25)</f>
        <v/>
      </c>
      <c r="J26" s="32">
        <f>I26-H26*J27</f>
        <v/>
      </c>
      <c r="K26" s="30">
        <f>IF(A26&lt;=$B$6,$H$7*$B$9^$I$7,IF(A26&lt;=$B$6+$B$7,$H$7*$B$10^$I$7,$H$7*$B$11^$I$7))</f>
        <v/>
      </c>
      <c r="L26" s="30">
        <f>IF(A26=1,0,$B$14)</f>
        <v/>
      </c>
      <c r="M26" s="30">
        <f>IF(A26&gt;$B$6+$B$7,-$B$14-$B$13/K26,IF(A26&gt;$B$6,-$B$14-$B$13*$B$15/K26,-$B$14-($B$13*$B$15+$B$12)/K26))</f>
        <v/>
      </c>
      <c r="N26" s="30">
        <f>IF(A26&gt;$B$6+$B$7,$B$13/K27,IF(A26&gt;=$B$6,$B$13*$B$15/K27,($B$13*$B$15+$B$12)/K27))</f>
        <v/>
      </c>
      <c r="O26" s="30">
        <f>IF(A26=$B$6,-$M$7*$B$12,0)</f>
        <v/>
      </c>
      <c r="P26" s="31">
        <f>N26/(M26-L26*P25)</f>
        <v/>
      </c>
      <c r="Q26" s="31">
        <f>(O26-L26*Q25)/(M26-L26*P25)</f>
        <v/>
      </c>
      <c r="R26" s="32">
        <f>Q26-P26*R27</f>
        <v/>
      </c>
      <c r="S26" s="30">
        <f>IF(A26&lt;=$B$6,$H$8*$B$9^$I$8,IF(A26&lt;=$B$6+$B$7,$H$8*$B$10^$I$8,$H$8*$B$11^$I$8))</f>
        <v/>
      </c>
      <c r="T26" s="30">
        <f>IF(A26=1,0,$B$14)</f>
        <v/>
      </c>
      <c r="U26" s="30">
        <f>IF(A26&gt;$B$6+$B$7,-$B$14-$B$13/S26,IF(A26&gt;$B$6,-$B$14-$B$13*$B$15/S26,-$B$14-($B$13*$B$15+$B$12)/S26))</f>
        <v/>
      </c>
      <c r="V26" s="30">
        <f>IF(A26&gt;$B$6+$B$7,$B$13/S27,IF(A26&gt;=$B$6,$B$13*$B$15/S27,($B$13*$B$15+$B$12)/S27))</f>
        <v/>
      </c>
      <c r="W26" s="30">
        <f>IF(A26=$B$6,-$M$8*$B$12,0)</f>
        <v/>
      </c>
      <c r="X26" s="31">
        <f>V26/(U26-T26*X25)</f>
        <v/>
      </c>
      <c r="Y26" s="31">
        <f>(W26-T26*Y25)/(U26-T26*X25)</f>
        <v/>
      </c>
      <c r="Z26" s="32">
        <f>Y26-X26*Z27</f>
        <v/>
      </c>
      <c r="AA26" s="30">
        <f>IF(A26&lt;=$B$6,$H$9*$B$9^$I$9,IF(A26&lt;=$B$6+$B$7,$H$9*$B$10^$I$9,$H$9*$B$11^$I$9))</f>
        <v/>
      </c>
      <c r="AB26" s="30">
        <f>IF(A26=1,0,$B$14)</f>
        <v/>
      </c>
      <c r="AC26" s="30">
        <f>IF(A26&gt;$B$6+$B$7,-$B$14-$B$13/AA26,IF(A26&gt;$B$6,-$B$14-$B$13*$B$15/AA26,-$B$14-($B$13*$B$15+$B$12)/AA26))</f>
        <v/>
      </c>
      <c r="AD26" s="30">
        <f>IF(A26&gt;$B$6+$B$7,$B$13/AA27,IF(A26&gt;=$B$6,$B$13*$B$15/AA27,($B$13*$B$15+$B$12)/AA27))</f>
        <v/>
      </c>
      <c r="AE26" s="30">
        <f>IF(A26=$B$6,-$M$9*$B$12,0)</f>
        <v/>
      </c>
      <c r="AF26" s="31">
        <f>AD26/(AC26-AB26*AF25)</f>
        <v/>
      </c>
      <c r="AG26" s="31">
        <f>(AE26-AB26*AG25)/(AC26-AB26*AF25)</f>
        <v/>
      </c>
      <c r="AH26" s="32">
        <f>AG26-AF26*AH27</f>
        <v/>
      </c>
      <c r="AI26" s="33">
        <f>IF(C26&lt;&gt;0,J26/C26,0)</f>
        <v/>
      </c>
      <c r="AJ26" s="33">
        <f>IF(K26&lt;&gt;0,R26/K26,0)</f>
        <v/>
      </c>
      <c r="AK26" s="33">
        <f>IF(S26&lt;&gt;0,Z26/S26,0)</f>
        <v/>
      </c>
      <c r="AL26" s="33">
        <f>IF(AA26&lt;&gt;0,AH26/AA26,0)</f>
        <v/>
      </c>
      <c r="AM26" s="32">
        <f>J26+R26+Z26+AH26</f>
        <v/>
      </c>
      <c r="AN26" s="32">
        <f>AI26+AJ26+AK26+AL26</f>
        <v/>
      </c>
    </row>
    <row r="27">
      <c r="A27" s="28" t="n">
        <v>8</v>
      </c>
      <c r="B27" s="29">
        <f>IF(A27&lt;=$B$6,"Extraction",IF(A27&lt;=$B$6+$B$7,"Scrub","Strip"))</f>
        <v/>
      </c>
      <c r="C27" s="30">
        <f>IF(A27&lt;=$B$6,$H$6*$B$9^$I$6,IF(A27&lt;=$B$6+$B$7,$H$6*$B$10^$I$6,$H$6*$B$11^$I$6))</f>
        <v/>
      </c>
      <c r="D27" s="30">
        <f>IF(A27=1,0,$B$14)</f>
        <v/>
      </c>
      <c r="E27" s="30">
        <f>IF(A27&gt;$B$6+$B$7,-$B$14-$B$13/C27,IF(A27&gt;$B$6,-$B$14-$B$13*$B$15/C27,-$B$14-($B$13*$B$15+$B$12)/C27))</f>
        <v/>
      </c>
      <c r="F27" s="30">
        <f>IF(A27&gt;$B$6+$B$7,$B$13/C28,IF(A27&gt;=$B$6,$B$13*$B$15/C28,($B$13*$B$15+$B$12)/C28))</f>
        <v/>
      </c>
      <c r="G27" s="30">
        <f>IF(A27=$B$6,-$M$6*$B$12,0)</f>
        <v/>
      </c>
      <c r="H27" s="31">
        <f>F27/(E27-D27*H26)</f>
        <v/>
      </c>
      <c r="I27" s="31">
        <f>(G27-D27*I26)/(E27-D27*H26)</f>
        <v/>
      </c>
      <c r="J27" s="32">
        <f>I27-H27*J28</f>
        <v/>
      </c>
      <c r="K27" s="30">
        <f>IF(A27&lt;=$B$6,$H$7*$B$9^$I$7,IF(A27&lt;=$B$6+$B$7,$H$7*$B$10^$I$7,$H$7*$B$11^$I$7))</f>
        <v/>
      </c>
      <c r="L27" s="30">
        <f>IF(A27=1,0,$B$14)</f>
        <v/>
      </c>
      <c r="M27" s="30">
        <f>IF(A27&gt;$B$6+$B$7,-$B$14-$B$13/K27,IF(A27&gt;$B$6,-$B$14-$B$13*$B$15/K27,-$B$14-($B$13*$B$15+$B$12)/K27))</f>
        <v/>
      </c>
      <c r="N27" s="30">
        <f>IF(A27&gt;$B$6+$B$7,$B$13/K28,IF(A27&gt;=$B$6,$B$13*$B$15/K28,($B$13*$B$15+$B$12)/K28))</f>
        <v/>
      </c>
      <c r="O27" s="30">
        <f>IF(A27=$B$6,-$M$7*$B$12,0)</f>
        <v/>
      </c>
      <c r="P27" s="31">
        <f>N27/(M27-L27*P26)</f>
        <v/>
      </c>
      <c r="Q27" s="31">
        <f>(O27-L27*Q26)/(M27-L27*P26)</f>
        <v/>
      </c>
      <c r="R27" s="32">
        <f>Q27-P27*R28</f>
        <v/>
      </c>
      <c r="S27" s="30">
        <f>IF(A27&lt;=$B$6,$H$8*$B$9^$I$8,IF(A27&lt;=$B$6+$B$7,$H$8*$B$10^$I$8,$H$8*$B$11^$I$8))</f>
        <v/>
      </c>
      <c r="T27" s="30">
        <f>IF(A27=1,0,$B$14)</f>
        <v/>
      </c>
      <c r="U27" s="30">
        <f>IF(A27&gt;$B$6+$B$7,-$B$14-$B$13/S27,IF(A27&gt;$B$6,-$B$14-$B$13*$B$15/S27,-$B$14-($B$13*$B$15+$B$12)/S27))</f>
        <v/>
      </c>
      <c r="V27" s="30">
        <f>IF(A27&gt;$B$6+$B$7,$B$13/S28,IF(A27&gt;=$B$6,$B$13*$B$15/S28,($B$13*$B$15+$B$12)/S28))</f>
        <v/>
      </c>
      <c r="W27" s="30">
        <f>IF(A27=$B$6,-$M$8*$B$12,0)</f>
        <v/>
      </c>
      <c r="X27" s="31">
        <f>V27/(U27-T27*X26)</f>
        <v/>
      </c>
      <c r="Y27" s="31">
        <f>(W27-T27*Y26)/(U27-T27*X26)</f>
        <v/>
      </c>
      <c r="Z27" s="32">
        <f>Y27-X27*Z28</f>
        <v/>
      </c>
      <c r="AA27" s="30">
        <f>IF(A27&lt;=$B$6,$H$9*$B$9^$I$9,IF(A27&lt;=$B$6+$B$7,$H$9*$B$10^$I$9,$H$9*$B$11^$I$9))</f>
        <v/>
      </c>
      <c r="AB27" s="30">
        <f>IF(A27=1,0,$B$14)</f>
        <v/>
      </c>
      <c r="AC27" s="30">
        <f>IF(A27&gt;$B$6+$B$7,-$B$14-$B$13/AA27,IF(A27&gt;$B$6,-$B$14-$B$13*$B$15/AA27,-$B$14-($B$13*$B$15+$B$12)/AA27))</f>
        <v/>
      </c>
      <c r="AD27" s="30">
        <f>IF(A27&gt;$B$6+$B$7,$B$13/AA28,IF(A27&gt;=$B$6,$B$13*$B$15/AA28,($B$13*$B$15+$B$12)/AA28))</f>
        <v/>
      </c>
      <c r="AE27" s="30">
        <f>IF(A27=$B$6,-$M$9*$B$12,0)</f>
        <v/>
      </c>
      <c r="AF27" s="31">
        <f>AD27/(AC27-AB27*AF26)</f>
        <v/>
      </c>
      <c r="AG27" s="31">
        <f>(AE27-AB27*AG26)/(AC27-AB27*AF26)</f>
        <v/>
      </c>
      <c r="AH27" s="32">
        <f>AG27-AF27*AH28</f>
        <v/>
      </c>
      <c r="AI27" s="33">
        <f>IF(C27&lt;&gt;0,J27/C27,0)</f>
        <v/>
      </c>
      <c r="AJ27" s="33">
        <f>IF(K27&lt;&gt;0,R27/K27,0)</f>
        <v/>
      </c>
      <c r="AK27" s="33">
        <f>IF(S27&lt;&gt;0,Z27/S27,0)</f>
        <v/>
      </c>
      <c r="AL27" s="33">
        <f>IF(AA27&lt;&gt;0,AH27/AA27,0)</f>
        <v/>
      </c>
      <c r="AM27" s="32">
        <f>J27+R27+Z27+AH27</f>
        <v/>
      </c>
      <c r="AN27" s="32">
        <f>AI27+AJ27+AK27+AL27</f>
        <v/>
      </c>
    </row>
    <row r="28">
      <c r="A28" s="28" t="n">
        <v>9</v>
      </c>
      <c r="B28" s="29">
        <f>IF(A28&lt;=$B$6,"Extraction",IF(A28&lt;=$B$6+$B$7,"Scrub","Strip"))</f>
        <v/>
      </c>
      <c r="C28" s="30">
        <f>IF(A28&lt;=$B$6,$H$6*$B$9^$I$6,IF(A28&lt;=$B$6+$B$7,$H$6*$B$10^$I$6,$H$6*$B$11^$I$6))</f>
        <v/>
      </c>
      <c r="D28" s="30">
        <f>IF(A28=1,0,$B$14)</f>
        <v/>
      </c>
      <c r="E28" s="30">
        <f>IF(A28&gt;$B$6+$B$7,-$B$14-$B$13/C28,IF(A28&gt;$B$6,-$B$14-$B$13*$B$15/C28,-$B$14-($B$13*$B$15+$B$12)/C28))</f>
        <v/>
      </c>
      <c r="F28" s="30">
        <f>IF(A28&gt;$B$6+$B$7,$B$13/C29,IF(A28&gt;=$B$6,$B$13*$B$15/C29,($B$13*$B$15+$B$12)/C29))</f>
        <v/>
      </c>
      <c r="G28" s="30">
        <f>IF(A28=$B$6,-$M$6*$B$12,0)</f>
        <v/>
      </c>
      <c r="H28" s="31">
        <f>F28/(E28-D28*H27)</f>
        <v/>
      </c>
      <c r="I28" s="31">
        <f>(G28-D28*I27)/(E28-D28*H27)</f>
        <v/>
      </c>
      <c r="J28" s="32">
        <f>I28-H28*J29</f>
        <v/>
      </c>
      <c r="K28" s="30">
        <f>IF(A28&lt;=$B$6,$H$7*$B$9^$I$7,IF(A28&lt;=$B$6+$B$7,$H$7*$B$10^$I$7,$H$7*$B$11^$I$7))</f>
        <v/>
      </c>
      <c r="L28" s="30">
        <f>IF(A28=1,0,$B$14)</f>
        <v/>
      </c>
      <c r="M28" s="30">
        <f>IF(A28&gt;$B$6+$B$7,-$B$14-$B$13/K28,IF(A28&gt;$B$6,-$B$14-$B$13*$B$15/K28,-$B$14-($B$13*$B$15+$B$12)/K28))</f>
        <v/>
      </c>
      <c r="N28" s="30">
        <f>IF(A28&gt;$B$6+$B$7,$B$13/K29,IF(A28&gt;=$B$6,$B$13*$B$15/K29,($B$13*$B$15+$B$12)/K29))</f>
        <v/>
      </c>
      <c r="O28" s="30">
        <f>IF(A28=$B$6,-$M$7*$B$12,0)</f>
        <v/>
      </c>
      <c r="P28" s="31">
        <f>N28/(M28-L28*P27)</f>
        <v/>
      </c>
      <c r="Q28" s="31">
        <f>(O28-L28*Q27)/(M28-L28*P27)</f>
        <v/>
      </c>
      <c r="R28" s="32">
        <f>Q28-P28*R29</f>
        <v/>
      </c>
      <c r="S28" s="30">
        <f>IF(A28&lt;=$B$6,$H$8*$B$9^$I$8,IF(A28&lt;=$B$6+$B$7,$H$8*$B$10^$I$8,$H$8*$B$11^$I$8))</f>
        <v/>
      </c>
      <c r="T28" s="30">
        <f>IF(A28=1,0,$B$14)</f>
        <v/>
      </c>
      <c r="U28" s="30">
        <f>IF(A28&gt;$B$6+$B$7,-$B$14-$B$13/S28,IF(A28&gt;$B$6,-$B$14-$B$13*$B$15/S28,-$B$14-($B$13*$B$15+$B$12)/S28))</f>
        <v/>
      </c>
      <c r="V28" s="30">
        <f>IF(A28&gt;$B$6+$B$7,$B$13/S29,IF(A28&gt;=$B$6,$B$13*$B$15/S29,($B$13*$B$15+$B$12)/S29))</f>
        <v/>
      </c>
      <c r="W28" s="30">
        <f>IF(A28=$B$6,-$M$8*$B$12,0)</f>
        <v/>
      </c>
      <c r="X28" s="31">
        <f>V28/(U28-T28*X27)</f>
        <v/>
      </c>
      <c r="Y28" s="31">
        <f>(W28-T28*Y27)/(U28-T28*X27)</f>
        <v/>
      </c>
      <c r="Z28" s="32">
        <f>Y28-X28*Z29</f>
        <v/>
      </c>
      <c r="AA28" s="30">
        <f>IF(A28&lt;=$B$6,$H$9*$B$9^$I$9,IF(A28&lt;=$B$6+$B$7,$H$9*$B$10^$I$9,$H$9*$B$11^$I$9))</f>
        <v/>
      </c>
      <c r="AB28" s="30">
        <f>IF(A28=1,0,$B$14)</f>
        <v/>
      </c>
      <c r="AC28" s="30">
        <f>IF(A28&gt;$B$6+$B$7,-$B$14-$B$13/AA28,IF(A28&gt;$B$6,-$B$14-$B$13*$B$15/AA28,-$B$14-($B$13*$B$15+$B$12)/AA28))</f>
        <v/>
      </c>
      <c r="AD28" s="30">
        <f>IF(A28&gt;$B$6+$B$7,$B$13/AA29,IF(A28&gt;=$B$6,$B$13*$B$15/AA29,($B$13*$B$15+$B$12)/AA29))</f>
        <v/>
      </c>
      <c r="AE28" s="30">
        <f>IF(A28=$B$6,-$M$9*$B$12,0)</f>
        <v/>
      </c>
      <c r="AF28" s="31">
        <f>AD28/(AC28-AB28*AF27)</f>
        <v/>
      </c>
      <c r="AG28" s="31">
        <f>(AE28-AB28*AG27)/(AC28-AB28*AF27)</f>
        <v/>
      </c>
      <c r="AH28" s="32">
        <f>AG28-AF28*AH29</f>
        <v/>
      </c>
      <c r="AI28" s="33">
        <f>IF(C28&lt;&gt;0,J28/C28,0)</f>
        <v/>
      </c>
      <c r="AJ28" s="33">
        <f>IF(K28&lt;&gt;0,R28/K28,0)</f>
        <v/>
      </c>
      <c r="AK28" s="33">
        <f>IF(S28&lt;&gt;0,Z28/S28,0)</f>
        <v/>
      </c>
      <c r="AL28" s="33">
        <f>IF(AA28&lt;&gt;0,AH28/AA28,0)</f>
        <v/>
      </c>
      <c r="AM28" s="32">
        <f>J28+R28+Z28+AH28</f>
        <v/>
      </c>
      <c r="AN28" s="32">
        <f>AI28+AJ28+AK28+AL28</f>
        <v/>
      </c>
    </row>
    <row r="29">
      <c r="A29" s="28" t="n">
        <v>10</v>
      </c>
      <c r="B29" s="29">
        <f>IF(A29&lt;=$B$6,"Extraction",IF(A29&lt;=$B$6+$B$7,"Scrub","Strip"))</f>
        <v/>
      </c>
      <c r="C29" s="30">
        <f>IF(A29&lt;=$B$6,$H$6*$B$9^$I$6,IF(A29&lt;=$B$6+$B$7,$H$6*$B$10^$I$6,$H$6*$B$11^$I$6))</f>
        <v/>
      </c>
      <c r="D29" s="30">
        <f>IF(A29=1,0,$B$14)</f>
        <v/>
      </c>
      <c r="E29" s="30">
        <f>IF(A29&gt;$B$6+$B$7,-$B$14-$B$13/C29,IF(A29&gt;$B$6,-$B$14-$B$13*$B$15/C29,-$B$14-($B$13*$B$15+$B$12)/C29))</f>
        <v/>
      </c>
      <c r="F29" s="30">
        <f>IF(A29&gt;$B$6+$B$7,$B$13/C30,IF(A29&gt;=$B$6,$B$13*$B$15/C30,($B$13*$B$15+$B$12)/C30))</f>
        <v/>
      </c>
      <c r="G29" s="30">
        <f>IF(A29=$B$6,-$M$6*$B$12,0)</f>
        <v/>
      </c>
      <c r="H29" s="31">
        <f>F29/(E29-D29*H28)</f>
        <v/>
      </c>
      <c r="I29" s="31">
        <f>(G29-D29*I28)/(E29-D29*H28)</f>
        <v/>
      </c>
      <c r="J29" s="32">
        <f>I29-H29*J30</f>
        <v/>
      </c>
      <c r="K29" s="30">
        <f>IF(A29&lt;=$B$6,$H$7*$B$9^$I$7,IF(A29&lt;=$B$6+$B$7,$H$7*$B$10^$I$7,$H$7*$B$11^$I$7))</f>
        <v/>
      </c>
      <c r="L29" s="30">
        <f>IF(A29=1,0,$B$14)</f>
        <v/>
      </c>
      <c r="M29" s="30">
        <f>IF(A29&gt;$B$6+$B$7,-$B$14-$B$13/K29,IF(A29&gt;$B$6,-$B$14-$B$13*$B$15/K29,-$B$14-($B$13*$B$15+$B$12)/K29))</f>
        <v/>
      </c>
      <c r="N29" s="30">
        <f>IF(A29&gt;$B$6+$B$7,$B$13/K30,IF(A29&gt;=$B$6,$B$13*$B$15/K30,($B$13*$B$15+$B$12)/K30))</f>
        <v/>
      </c>
      <c r="O29" s="30">
        <f>IF(A29=$B$6,-$M$7*$B$12,0)</f>
        <v/>
      </c>
      <c r="P29" s="31">
        <f>N29/(M29-L29*P28)</f>
        <v/>
      </c>
      <c r="Q29" s="31">
        <f>(O29-L29*Q28)/(M29-L29*P28)</f>
        <v/>
      </c>
      <c r="R29" s="32">
        <f>Q29-P29*R30</f>
        <v/>
      </c>
      <c r="S29" s="30">
        <f>IF(A29&lt;=$B$6,$H$8*$B$9^$I$8,IF(A29&lt;=$B$6+$B$7,$H$8*$B$10^$I$8,$H$8*$B$11^$I$8))</f>
        <v/>
      </c>
      <c r="T29" s="30">
        <f>IF(A29=1,0,$B$14)</f>
        <v/>
      </c>
      <c r="U29" s="30">
        <f>IF(A29&gt;$B$6+$B$7,-$B$14-$B$13/S29,IF(A29&gt;$B$6,-$B$14-$B$13*$B$15/S29,-$B$14-($B$13*$B$15+$B$12)/S29))</f>
        <v/>
      </c>
      <c r="V29" s="30">
        <f>IF(A29&gt;$B$6+$B$7,$B$13/S30,IF(A29&gt;=$B$6,$B$13*$B$15/S30,($B$13*$B$15+$B$12)/S30))</f>
        <v/>
      </c>
      <c r="W29" s="30">
        <f>IF(A29=$B$6,-$M$8*$B$12,0)</f>
        <v/>
      </c>
      <c r="X29" s="31">
        <f>V29/(U29-T29*X28)</f>
        <v/>
      </c>
      <c r="Y29" s="31">
        <f>(W29-T29*Y28)/(U29-T29*X28)</f>
        <v/>
      </c>
      <c r="Z29" s="32">
        <f>Y29-X29*Z30</f>
        <v/>
      </c>
      <c r="AA29" s="30">
        <f>IF(A29&lt;=$B$6,$H$9*$B$9^$I$9,IF(A29&lt;=$B$6+$B$7,$H$9*$B$10^$I$9,$H$9*$B$11^$I$9))</f>
        <v/>
      </c>
      <c r="AB29" s="30">
        <f>IF(A29=1,0,$B$14)</f>
        <v/>
      </c>
      <c r="AC29" s="30">
        <f>IF(A29&gt;$B$6+$B$7,-$B$14-$B$13/AA29,IF(A29&gt;$B$6,-$B$14-$B$13*$B$15/AA29,-$B$14-($B$13*$B$15+$B$12)/AA29))</f>
        <v/>
      </c>
      <c r="AD29" s="30">
        <f>IF(A29&gt;$B$6+$B$7,$B$13/AA30,IF(A29&gt;=$B$6,$B$13*$B$15/AA30,($B$13*$B$15+$B$12)/AA30))</f>
        <v/>
      </c>
      <c r="AE29" s="30">
        <f>IF(A29=$B$6,-$M$9*$B$12,0)</f>
        <v/>
      </c>
      <c r="AF29" s="31">
        <f>AD29/(AC29-AB29*AF28)</f>
        <v/>
      </c>
      <c r="AG29" s="31">
        <f>(AE29-AB29*AG28)/(AC29-AB29*AF28)</f>
        <v/>
      </c>
      <c r="AH29" s="32">
        <f>AG29-AF29*AH30</f>
        <v/>
      </c>
      <c r="AI29" s="33">
        <f>IF(C29&lt;&gt;0,J29/C29,0)</f>
        <v/>
      </c>
      <c r="AJ29" s="33">
        <f>IF(K29&lt;&gt;0,R29/K29,0)</f>
        <v/>
      </c>
      <c r="AK29" s="33">
        <f>IF(S29&lt;&gt;0,Z29/S29,0)</f>
        <v/>
      </c>
      <c r="AL29" s="33">
        <f>IF(AA29&lt;&gt;0,AH29/AA29,0)</f>
        <v/>
      </c>
      <c r="AM29" s="32">
        <f>J29+R29+Z29+AH29</f>
        <v/>
      </c>
      <c r="AN29" s="32">
        <f>AI29+AJ29+AK29+AL29</f>
        <v/>
      </c>
    </row>
    <row r="30">
      <c r="A30" s="34" t="n">
        <v>11</v>
      </c>
      <c r="B30" s="35">
        <f>IF(A30&lt;=$B$6,"Extraction",IF(A30&lt;=$B$6+$B$7,"Scrub","Strip"))</f>
        <v/>
      </c>
      <c r="C30" s="30">
        <f>IF(A30&lt;=$B$6,$H$6*$B$9^$I$6,IF(A30&lt;=$B$6+$B$7,$H$6*$B$10^$I$6,$H$6*$B$11^$I$6))</f>
        <v/>
      </c>
      <c r="D30" s="30">
        <f>IF(A30=1,0,$B$14)</f>
        <v/>
      </c>
      <c r="E30" s="30">
        <f>IF(A30&gt;$B$6+$B$7,-$B$14-$B$13/C30,IF(A30&gt;$B$6,-$B$14-$B$13*$B$15/C30,-$B$14-($B$13*$B$15+$B$12)/C30))</f>
        <v/>
      </c>
      <c r="F30" s="30">
        <f>IF(A30&gt;$B$6+$B$7,$B$13/C31,IF(A30&gt;=$B$6,$B$13*$B$15/C31,($B$13*$B$15+$B$12)/C31))</f>
        <v/>
      </c>
      <c r="G30" s="30">
        <f>IF(A30=$B$6,-$M$6*$B$12,0)</f>
        <v/>
      </c>
      <c r="H30" s="31">
        <f>F30/(E30-D30*H29)</f>
        <v/>
      </c>
      <c r="I30" s="31">
        <f>(G30-D30*I29)/(E30-D30*H29)</f>
        <v/>
      </c>
      <c r="J30" s="32">
        <f>I30-H30*J31</f>
        <v/>
      </c>
      <c r="K30" s="30">
        <f>IF(A30&lt;=$B$6,$H$7*$B$9^$I$7,IF(A30&lt;=$B$6+$B$7,$H$7*$B$10^$I$7,$H$7*$B$11^$I$7))</f>
        <v/>
      </c>
      <c r="L30" s="30">
        <f>IF(A30=1,0,$B$14)</f>
        <v/>
      </c>
      <c r="M30" s="30">
        <f>IF(A30&gt;$B$6+$B$7,-$B$14-$B$13/K30,IF(A30&gt;$B$6,-$B$14-$B$13*$B$15/K30,-$B$14-($B$13*$B$15+$B$12)/K30))</f>
        <v/>
      </c>
      <c r="N30" s="30">
        <f>IF(A30&gt;$B$6+$B$7,$B$13/K31,IF(A30&gt;=$B$6,$B$13*$B$15/K31,($B$13*$B$15+$B$12)/K31))</f>
        <v/>
      </c>
      <c r="O30" s="30">
        <f>IF(A30=$B$6,-$M$7*$B$12,0)</f>
        <v/>
      </c>
      <c r="P30" s="31">
        <f>N30/(M30-L30*P29)</f>
        <v/>
      </c>
      <c r="Q30" s="31">
        <f>(O30-L30*Q29)/(M30-L30*P29)</f>
        <v/>
      </c>
      <c r="R30" s="32">
        <f>Q30-P30*R31</f>
        <v/>
      </c>
      <c r="S30" s="30">
        <f>IF(A30&lt;=$B$6,$H$8*$B$9^$I$8,IF(A30&lt;=$B$6+$B$7,$H$8*$B$10^$I$8,$H$8*$B$11^$I$8))</f>
        <v/>
      </c>
      <c r="T30" s="30">
        <f>IF(A30=1,0,$B$14)</f>
        <v/>
      </c>
      <c r="U30" s="30">
        <f>IF(A30&gt;$B$6+$B$7,-$B$14-$B$13/S30,IF(A30&gt;$B$6,-$B$14-$B$13*$B$15/S30,-$B$14-($B$13*$B$15+$B$12)/S30))</f>
        <v/>
      </c>
      <c r="V30" s="30">
        <f>IF(A30&gt;$B$6+$B$7,$B$13/S31,IF(A30&gt;=$B$6,$B$13*$B$15/S31,($B$13*$B$15+$B$12)/S31))</f>
        <v/>
      </c>
      <c r="W30" s="30">
        <f>IF(A30=$B$6,-$M$8*$B$12,0)</f>
        <v/>
      </c>
      <c r="X30" s="31">
        <f>V30/(U30-T30*X29)</f>
        <v/>
      </c>
      <c r="Y30" s="31">
        <f>(W30-T30*Y29)/(U30-T30*X29)</f>
        <v/>
      </c>
      <c r="Z30" s="32">
        <f>Y30-X30*Z31</f>
        <v/>
      </c>
      <c r="AA30" s="30">
        <f>IF(A30&lt;=$B$6,$H$9*$B$9^$I$9,IF(A30&lt;=$B$6+$B$7,$H$9*$B$10^$I$9,$H$9*$B$11^$I$9))</f>
        <v/>
      </c>
      <c r="AB30" s="30">
        <f>IF(A30=1,0,$B$14)</f>
        <v/>
      </c>
      <c r="AC30" s="30">
        <f>IF(A30&gt;$B$6+$B$7,-$B$14-$B$13/AA30,IF(A30&gt;$B$6,-$B$14-$B$13*$B$15/AA30,-$B$14-($B$13*$B$15+$B$12)/AA30))</f>
        <v/>
      </c>
      <c r="AD30" s="30">
        <f>IF(A30&gt;$B$6+$B$7,$B$13/AA31,IF(A30&gt;=$B$6,$B$13*$B$15/AA31,($B$13*$B$15+$B$12)/AA31))</f>
        <v/>
      </c>
      <c r="AE30" s="30">
        <f>IF(A30=$B$6,-$M$9*$B$12,0)</f>
        <v/>
      </c>
      <c r="AF30" s="31">
        <f>AD30/(AC30-AB30*AF29)</f>
        <v/>
      </c>
      <c r="AG30" s="31">
        <f>(AE30-AB30*AG29)/(AC30-AB30*AF29)</f>
        <v/>
      </c>
      <c r="AH30" s="32">
        <f>AG30-AF30*AH31</f>
        <v/>
      </c>
      <c r="AI30" s="33">
        <f>IF(C30&lt;&gt;0,J30/C30,0)</f>
        <v/>
      </c>
      <c r="AJ30" s="33">
        <f>IF(K30&lt;&gt;0,R30/K30,0)</f>
        <v/>
      </c>
      <c r="AK30" s="33">
        <f>IF(S30&lt;&gt;0,Z30/S30,0)</f>
        <v/>
      </c>
      <c r="AL30" s="33">
        <f>IF(AA30&lt;&gt;0,AH30/AA30,0)</f>
        <v/>
      </c>
      <c r="AM30" s="32">
        <f>J30+R30+Z30+AH30</f>
        <v/>
      </c>
      <c r="AN30" s="32">
        <f>AI30+AJ30+AK30+AL30</f>
        <v/>
      </c>
    </row>
    <row r="31">
      <c r="A31" s="34" t="n">
        <v>12</v>
      </c>
      <c r="B31" s="35">
        <f>IF(A31&lt;=$B$6,"Extraction",IF(A31&lt;=$B$6+$B$7,"Scrub","Strip"))</f>
        <v/>
      </c>
      <c r="C31" s="30">
        <f>IF(A31&lt;=$B$6,$H$6*$B$9^$I$6,IF(A31&lt;=$B$6+$B$7,$H$6*$B$10^$I$6,$H$6*$B$11^$I$6))</f>
        <v/>
      </c>
      <c r="D31" s="30">
        <f>IF(A31=1,0,$B$14)</f>
        <v/>
      </c>
      <c r="E31" s="30">
        <f>IF(A31&gt;$B$6+$B$7,-$B$14-$B$13/C31,IF(A31&gt;$B$6,-$B$14-$B$13*$B$15/C31,-$B$14-($B$13*$B$15+$B$12)/C31))</f>
        <v/>
      </c>
      <c r="F31" s="30">
        <f>IF(A31&gt;$B$6+$B$7,$B$13/C32,IF(A31&gt;=$B$6,$B$13*$B$15/C32,($B$13*$B$15+$B$12)/C32))</f>
        <v/>
      </c>
      <c r="G31" s="30">
        <f>IF(A31=$B$6,-$M$6*$B$12,0)</f>
        <v/>
      </c>
      <c r="H31" s="31">
        <f>F31/(E31-D31*H30)</f>
        <v/>
      </c>
      <c r="I31" s="31">
        <f>(G31-D31*I30)/(E31-D31*H30)</f>
        <v/>
      </c>
      <c r="J31" s="32">
        <f>I31-H31*J32</f>
        <v/>
      </c>
      <c r="K31" s="30">
        <f>IF(A31&lt;=$B$6,$H$7*$B$9^$I$7,IF(A31&lt;=$B$6+$B$7,$H$7*$B$10^$I$7,$H$7*$B$11^$I$7))</f>
        <v/>
      </c>
      <c r="L31" s="30">
        <f>IF(A31=1,0,$B$14)</f>
        <v/>
      </c>
      <c r="M31" s="30">
        <f>IF(A31&gt;$B$6+$B$7,-$B$14-$B$13/K31,IF(A31&gt;$B$6,-$B$14-$B$13*$B$15/K31,-$B$14-($B$13*$B$15+$B$12)/K31))</f>
        <v/>
      </c>
      <c r="N31" s="30">
        <f>IF(A31&gt;$B$6+$B$7,$B$13/K32,IF(A31&gt;=$B$6,$B$13*$B$15/K32,($B$13*$B$15+$B$12)/K32))</f>
        <v/>
      </c>
      <c r="O31" s="30">
        <f>IF(A31=$B$6,-$M$7*$B$12,0)</f>
        <v/>
      </c>
      <c r="P31" s="31">
        <f>N31/(M31-L31*P30)</f>
        <v/>
      </c>
      <c r="Q31" s="31">
        <f>(O31-L31*Q30)/(M31-L31*P30)</f>
        <v/>
      </c>
      <c r="R31" s="32">
        <f>Q31-P31*R32</f>
        <v/>
      </c>
      <c r="S31" s="30">
        <f>IF(A31&lt;=$B$6,$H$8*$B$9^$I$8,IF(A31&lt;=$B$6+$B$7,$H$8*$B$10^$I$8,$H$8*$B$11^$I$8))</f>
        <v/>
      </c>
      <c r="T31" s="30">
        <f>IF(A31=1,0,$B$14)</f>
        <v/>
      </c>
      <c r="U31" s="30">
        <f>IF(A31&gt;$B$6+$B$7,-$B$14-$B$13/S31,IF(A31&gt;$B$6,-$B$14-$B$13*$B$15/S31,-$B$14-($B$13*$B$15+$B$12)/S31))</f>
        <v/>
      </c>
      <c r="V31" s="30">
        <f>IF(A31&gt;$B$6+$B$7,$B$13/S32,IF(A31&gt;=$B$6,$B$13*$B$15/S32,($B$13*$B$15+$B$12)/S32))</f>
        <v/>
      </c>
      <c r="W31" s="30">
        <f>IF(A31=$B$6,-$M$8*$B$12,0)</f>
        <v/>
      </c>
      <c r="X31" s="31">
        <f>V31/(U31-T31*X30)</f>
        <v/>
      </c>
      <c r="Y31" s="31">
        <f>(W31-T31*Y30)/(U31-T31*X30)</f>
        <v/>
      </c>
      <c r="Z31" s="32">
        <f>Y31-X31*Z32</f>
        <v/>
      </c>
      <c r="AA31" s="30">
        <f>IF(A31&lt;=$B$6,$H$9*$B$9^$I$9,IF(A31&lt;=$B$6+$B$7,$H$9*$B$10^$I$9,$H$9*$B$11^$I$9))</f>
        <v/>
      </c>
      <c r="AB31" s="30">
        <f>IF(A31=1,0,$B$14)</f>
        <v/>
      </c>
      <c r="AC31" s="30">
        <f>IF(A31&gt;$B$6+$B$7,-$B$14-$B$13/AA31,IF(A31&gt;$B$6,-$B$14-$B$13*$B$15/AA31,-$B$14-($B$13*$B$15+$B$12)/AA31))</f>
        <v/>
      </c>
      <c r="AD31" s="30">
        <f>IF(A31&gt;$B$6+$B$7,$B$13/AA32,IF(A31&gt;=$B$6,$B$13*$B$15/AA32,($B$13*$B$15+$B$12)/AA32))</f>
        <v/>
      </c>
      <c r="AE31" s="30">
        <f>IF(A31=$B$6,-$M$9*$B$12,0)</f>
        <v/>
      </c>
      <c r="AF31" s="31">
        <f>AD31/(AC31-AB31*AF30)</f>
        <v/>
      </c>
      <c r="AG31" s="31">
        <f>(AE31-AB31*AG30)/(AC31-AB31*AF30)</f>
        <v/>
      </c>
      <c r="AH31" s="32">
        <f>AG31-AF31*AH32</f>
        <v/>
      </c>
      <c r="AI31" s="33">
        <f>IF(C31&lt;&gt;0,J31/C31,0)</f>
        <v/>
      </c>
      <c r="AJ31" s="33">
        <f>IF(K31&lt;&gt;0,R31/K31,0)</f>
        <v/>
      </c>
      <c r="AK31" s="33">
        <f>IF(S31&lt;&gt;0,Z31/S31,0)</f>
        <v/>
      </c>
      <c r="AL31" s="33">
        <f>IF(AA31&lt;&gt;0,AH31/AA31,0)</f>
        <v/>
      </c>
      <c r="AM31" s="32">
        <f>J31+R31+Z31+AH31</f>
        <v/>
      </c>
      <c r="AN31" s="32">
        <f>AI31+AJ31+AK31+AL31</f>
        <v/>
      </c>
    </row>
    <row r="32">
      <c r="A32" s="34" t="n">
        <v>13</v>
      </c>
      <c r="B32" s="35">
        <f>IF(A32&lt;=$B$6,"Extraction",IF(A32&lt;=$B$6+$B$7,"Scrub","Strip"))</f>
        <v/>
      </c>
      <c r="C32" s="30">
        <f>IF(A32&lt;=$B$6,$H$6*$B$9^$I$6,IF(A32&lt;=$B$6+$B$7,$H$6*$B$10^$I$6,$H$6*$B$11^$I$6))</f>
        <v/>
      </c>
      <c r="D32" s="30">
        <f>IF(A32=1,0,$B$14)</f>
        <v/>
      </c>
      <c r="E32" s="30">
        <f>IF(A32&gt;$B$6+$B$7,-$B$14-$B$13/C32,IF(A32&gt;$B$6,-$B$14-$B$13*$B$15/C32,-$B$14-($B$13*$B$15+$B$12)/C32))</f>
        <v/>
      </c>
      <c r="F32" s="30">
        <f>IF(A32&gt;$B$6+$B$7,$B$13/C33,IF(A32&gt;=$B$6,$B$13*$B$15/C33,($B$13*$B$15+$B$12)/C33))</f>
        <v/>
      </c>
      <c r="G32" s="30">
        <f>IF(A32=$B$6,-$M$6*$B$12,0)</f>
        <v/>
      </c>
      <c r="H32" s="31">
        <f>F32/(E32-D32*H31)</f>
        <v/>
      </c>
      <c r="I32" s="31">
        <f>(G32-D32*I31)/(E32-D32*H31)</f>
        <v/>
      </c>
      <c r="J32" s="32">
        <f>I32-H32*J33</f>
        <v/>
      </c>
      <c r="K32" s="30">
        <f>IF(A32&lt;=$B$6,$H$7*$B$9^$I$7,IF(A32&lt;=$B$6+$B$7,$H$7*$B$10^$I$7,$H$7*$B$11^$I$7))</f>
        <v/>
      </c>
      <c r="L32" s="30">
        <f>IF(A32=1,0,$B$14)</f>
        <v/>
      </c>
      <c r="M32" s="30">
        <f>IF(A32&gt;$B$6+$B$7,-$B$14-$B$13/K32,IF(A32&gt;$B$6,-$B$14-$B$13*$B$15/K32,-$B$14-($B$13*$B$15+$B$12)/K32))</f>
        <v/>
      </c>
      <c r="N32" s="30">
        <f>IF(A32&gt;$B$6+$B$7,$B$13/K33,IF(A32&gt;=$B$6,$B$13*$B$15/K33,($B$13*$B$15+$B$12)/K33))</f>
        <v/>
      </c>
      <c r="O32" s="30">
        <f>IF(A32=$B$6,-$M$7*$B$12,0)</f>
        <v/>
      </c>
      <c r="P32" s="31">
        <f>N32/(M32-L32*P31)</f>
        <v/>
      </c>
      <c r="Q32" s="31">
        <f>(O32-L32*Q31)/(M32-L32*P31)</f>
        <v/>
      </c>
      <c r="R32" s="32">
        <f>Q32-P32*R33</f>
        <v/>
      </c>
      <c r="S32" s="30">
        <f>IF(A32&lt;=$B$6,$H$8*$B$9^$I$8,IF(A32&lt;=$B$6+$B$7,$H$8*$B$10^$I$8,$H$8*$B$11^$I$8))</f>
        <v/>
      </c>
      <c r="T32" s="30">
        <f>IF(A32=1,0,$B$14)</f>
        <v/>
      </c>
      <c r="U32" s="30">
        <f>IF(A32&gt;$B$6+$B$7,-$B$14-$B$13/S32,IF(A32&gt;$B$6,-$B$14-$B$13*$B$15/S32,-$B$14-($B$13*$B$15+$B$12)/S32))</f>
        <v/>
      </c>
      <c r="V32" s="30">
        <f>IF(A32&gt;$B$6+$B$7,$B$13/S33,IF(A32&gt;=$B$6,$B$13*$B$15/S33,($B$13*$B$15+$B$12)/S33))</f>
        <v/>
      </c>
      <c r="W32" s="30">
        <f>IF(A32=$B$6,-$M$8*$B$12,0)</f>
        <v/>
      </c>
      <c r="X32" s="31">
        <f>V32/(U32-T32*X31)</f>
        <v/>
      </c>
      <c r="Y32" s="31">
        <f>(W32-T32*Y31)/(U32-T32*X31)</f>
        <v/>
      </c>
      <c r="Z32" s="32">
        <f>Y32-X32*Z33</f>
        <v/>
      </c>
      <c r="AA32" s="30">
        <f>IF(A32&lt;=$B$6,$H$9*$B$9^$I$9,IF(A32&lt;=$B$6+$B$7,$H$9*$B$10^$I$9,$H$9*$B$11^$I$9))</f>
        <v/>
      </c>
      <c r="AB32" s="30">
        <f>IF(A32=1,0,$B$14)</f>
        <v/>
      </c>
      <c r="AC32" s="30">
        <f>IF(A32&gt;$B$6+$B$7,-$B$14-$B$13/AA32,IF(A32&gt;$B$6,-$B$14-$B$13*$B$15/AA32,-$B$14-($B$13*$B$15+$B$12)/AA32))</f>
        <v/>
      </c>
      <c r="AD32" s="30">
        <f>IF(A32&gt;$B$6+$B$7,$B$13/AA33,IF(A32&gt;=$B$6,$B$13*$B$15/AA33,($B$13*$B$15+$B$12)/AA33))</f>
        <v/>
      </c>
      <c r="AE32" s="30">
        <f>IF(A32=$B$6,-$M$9*$B$12,0)</f>
        <v/>
      </c>
      <c r="AF32" s="31">
        <f>AD32/(AC32-AB32*AF31)</f>
        <v/>
      </c>
      <c r="AG32" s="31">
        <f>(AE32-AB32*AG31)/(AC32-AB32*AF31)</f>
        <v/>
      </c>
      <c r="AH32" s="32">
        <f>AG32-AF32*AH33</f>
        <v/>
      </c>
      <c r="AI32" s="33">
        <f>IF(C32&lt;&gt;0,J32/C32,0)</f>
        <v/>
      </c>
      <c r="AJ32" s="33">
        <f>IF(K32&lt;&gt;0,R32/K32,0)</f>
        <v/>
      </c>
      <c r="AK32" s="33">
        <f>IF(S32&lt;&gt;0,Z32/S32,0)</f>
        <v/>
      </c>
      <c r="AL32" s="33">
        <f>IF(AA32&lt;&gt;0,AH32/AA32,0)</f>
        <v/>
      </c>
      <c r="AM32" s="32">
        <f>J32+R32+Z32+AH32</f>
        <v/>
      </c>
      <c r="AN32" s="32">
        <f>AI32+AJ32+AK32+AL32</f>
        <v/>
      </c>
    </row>
    <row r="33">
      <c r="A33" s="34" t="n">
        <v>14</v>
      </c>
      <c r="B33" s="35">
        <f>IF(A33&lt;=$B$6,"Extraction",IF(A33&lt;=$B$6+$B$7,"Scrub","Strip"))</f>
        <v/>
      </c>
      <c r="C33" s="30">
        <f>IF(A33&lt;=$B$6,$H$6*$B$9^$I$6,IF(A33&lt;=$B$6+$B$7,$H$6*$B$10^$I$6,$H$6*$B$11^$I$6))</f>
        <v/>
      </c>
      <c r="D33" s="30">
        <f>IF(A33=1,0,$B$14)</f>
        <v/>
      </c>
      <c r="E33" s="30">
        <f>IF(A33&gt;$B$6+$B$7,-$B$14-$B$13/C33,IF(A33&gt;$B$6,-$B$14-$B$13*$B$15/C33,-$B$14-($B$13*$B$15+$B$12)/C33))</f>
        <v/>
      </c>
      <c r="F33" s="30">
        <f>IF(A33&gt;$B$6+$B$7,$B$13/C34,IF(A33&gt;=$B$6,$B$13*$B$15/C34,($B$13*$B$15+$B$12)/C34))</f>
        <v/>
      </c>
      <c r="G33" s="30">
        <f>IF(A33=$B$6,-$M$6*$B$12,0)</f>
        <v/>
      </c>
      <c r="H33" s="31">
        <f>F33/(E33-D33*H32)</f>
        <v/>
      </c>
      <c r="I33" s="31">
        <f>(G33-D33*I32)/(E33-D33*H32)</f>
        <v/>
      </c>
      <c r="J33" s="32">
        <f>I33-H33*J34</f>
        <v/>
      </c>
      <c r="K33" s="30">
        <f>IF(A33&lt;=$B$6,$H$7*$B$9^$I$7,IF(A33&lt;=$B$6+$B$7,$H$7*$B$10^$I$7,$H$7*$B$11^$I$7))</f>
        <v/>
      </c>
      <c r="L33" s="30">
        <f>IF(A33=1,0,$B$14)</f>
        <v/>
      </c>
      <c r="M33" s="30">
        <f>IF(A33&gt;$B$6+$B$7,-$B$14-$B$13/K33,IF(A33&gt;$B$6,-$B$14-$B$13*$B$15/K33,-$B$14-($B$13*$B$15+$B$12)/K33))</f>
        <v/>
      </c>
      <c r="N33" s="30">
        <f>IF(A33&gt;$B$6+$B$7,$B$13/K34,IF(A33&gt;=$B$6,$B$13*$B$15/K34,($B$13*$B$15+$B$12)/K34))</f>
        <v/>
      </c>
      <c r="O33" s="30">
        <f>IF(A33=$B$6,-$M$7*$B$12,0)</f>
        <v/>
      </c>
      <c r="P33" s="31">
        <f>N33/(M33-L33*P32)</f>
        <v/>
      </c>
      <c r="Q33" s="31">
        <f>(O33-L33*Q32)/(M33-L33*P32)</f>
        <v/>
      </c>
      <c r="R33" s="32">
        <f>Q33-P33*R34</f>
        <v/>
      </c>
      <c r="S33" s="30">
        <f>IF(A33&lt;=$B$6,$H$8*$B$9^$I$8,IF(A33&lt;=$B$6+$B$7,$H$8*$B$10^$I$8,$H$8*$B$11^$I$8))</f>
        <v/>
      </c>
      <c r="T33" s="30">
        <f>IF(A33=1,0,$B$14)</f>
        <v/>
      </c>
      <c r="U33" s="30">
        <f>IF(A33&gt;$B$6+$B$7,-$B$14-$B$13/S33,IF(A33&gt;$B$6,-$B$14-$B$13*$B$15/S33,-$B$14-($B$13*$B$15+$B$12)/S33))</f>
        <v/>
      </c>
      <c r="V33" s="30">
        <f>IF(A33&gt;$B$6+$B$7,$B$13/S34,IF(A33&gt;=$B$6,$B$13*$B$15/S34,($B$13*$B$15+$B$12)/S34))</f>
        <v/>
      </c>
      <c r="W33" s="30">
        <f>IF(A33=$B$6,-$M$8*$B$12,0)</f>
        <v/>
      </c>
      <c r="X33" s="31">
        <f>V33/(U33-T33*X32)</f>
        <v/>
      </c>
      <c r="Y33" s="31">
        <f>(W33-T33*Y32)/(U33-T33*X32)</f>
        <v/>
      </c>
      <c r="Z33" s="32">
        <f>Y33-X33*Z34</f>
        <v/>
      </c>
      <c r="AA33" s="30">
        <f>IF(A33&lt;=$B$6,$H$9*$B$9^$I$9,IF(A33&lt;=$B$6+$B$7,$H$9*$B$10^$I$9,$H$9*$B$11^$I$9))</f>
        <v/>
      </c>
      <c r="AB33" s="30">
        <f>IF(A33=1,0,$B$14)</f>
        <v/>
      </c>
      <c r="AC33" s="30">
        <f>IF(A33&gt;$B$6+$B$7,-$B$14-$B$13/AA33,IF(A33&gt;$B$6,-$B$14-$B$13*$B$15/AA33,-$B$14-($B$13*$B$15+$B$12)/AA33))</f>
        <v/>
      </c>
      <c r="AD33" s="30">
        <f>IF(A33&gt;$B$6+$B$7,$B$13/AA34,IF(A33&gt;=$B$6,$B$13*$B$15/AA34,($B$13*$B$15+$B$12)/AA34))</f>
        <v/>
      </c>
      <c r="AE33" s="30">
        <f>IF(A33=$B$6,-$M$9*$B$12,0)</f>
        <v/>
      </c>
      <c r="AF33" s="31">
        <f>AD33/(AC33-AB33*AF32)</f>
        <v/>
      </c>
      <c r="AG33" s="31">
        <f>(AE33-AB33*AG32)/(AC33-AB33*AF32)</f>
        <v/>
      </c>
      <c r="AH33" s="32">
        <f>AG33-AF33*AH34</f>
        <v/>
      </c>
      <c r="AI33" s="33">
        <f>IF(C33&lt;&gt;0,J33/C33,0)</f>
        <v/>
      </c>
      <c r="AJ33" s="33">
        <f>IF(K33&lt;&gt;0,R33/K33,0)</f>
        <v/>
      </c>
      <c r="AK33" s="33">
        <f>IF(S33&lt;&gt;0,Z33/S33,0)</f>
        <v/>
      </c>
      <c r="AL33" s="33">
        <f>IF(AA33&lt;&gt;0,AH33/AA33,0)</f>
        <v/>
      </c>
      <c r="AM33" s="32">
        <f>J33+R33+Z33+AH33</f>
        <v/>
      </c>
      <c r="AN33" s="32">
        <f>AI33+AJ33+AK33+AL33</f>
        <v/>
      </c>
    </row>
    <row r="34">
      <c r="A34" s="34" t="n">
        <v>15</v>
      </c>
      <c r="B34" s="35">
        <f>IF(A34&lt;=$B$6,"Extraction",IF(A34&lt;=$B$6+$B$7,"Scrub","Strip"))</f>
        <v/>
      </c>
      <c r="C34" s="30">
        <f>IF(A34&lt;=$B$6,$H$6*$B$9^$I$6,IF(A34&lt;=$B$6+$B$7,$H$6*$B$10^$I$6,$H$6*$B$11^$I$6))</f>
        <v/>
      </c>
      <c r="D34" s="30">
        <f>IF(A34=1,0,$B$14)</f>
        <v/>
      </c>
      <c r="E34" s="30">
        <f>IF(A34&gt;$B$6+$B$7,-$B$14-$B$13/C34,IF(A34&gt;$B$6,-$B$14-$B$13*$B$15/C34,-$B$14-($B$13*$B$15+$B$12)/C34))</f>
        <v/>
      </c>
      <c r="F34" s="30">
        <f>IF(A34&gt;$B$6+$B$7,$B$13/C35,IF(A34&gt;=$B$6,$B$13*$B$15/C35,($B$13*$B$15+$B$12)/C35))</f>
        <v/>
      </c>
      <c r="G34" s="30">
        <f>IF(A34=$B$6,-$M$6*$B$12,0)</f>
        <v/>
      </c>
      <c r="H34" s="31">
        <f>F34/(E34-D34*H33)</f>
        <v/>
      </c>
      <c r="I34" s="31">
        <f>(G34-D34*I33)/(E34-D34*H33)</f>
        <v/>
      </c>
      <c r="J34" s="32">
        <f>I34-H34*J35</f>
        <v/>
      </c>
      <c r="K34" s="30">
        <f>IF(A34&lt;=$B$6,$H$7*$B$9^$I$7,IF(A34&lt;=$B$6+$B$7,$H$7*$B$10^$I$7,$H$7*$B$11^$I$7))</f>
        <v/>
      </c>
      <c r="L34" s="30">
        <f>IF(A34=1,0,$B$14)</f>
        <v/>
      </c>
      <c r="M34" s="30">
        <f>IF(A34&gt;$B$6+$B$7,-$B$14-$B$13/K34,IF(A34&gt;$B$6,-$B$14-$B$13*$B$15/K34,-$B$14-($B$13*$B$15+$B$12)/K34))</f>
        <v/>
      </c>
      <c r="N34" s="30">
        <f>IF(A34&gt;$B$6+$B$7,$B$13/K35,IF(A34&gt;=$B$6,$B$13*$B$15/K35,($B$13*$B$15+$B$12)/K35))</f>
        <v/>
      </c>
      <c r="O34" s="30">
        <f>IF(A34=$B$6,-$M$7*$B$12,0)</f>
        <v/>
      </c>
      <c r="P34" s="31">
        <f>N34/(M34-L34*P33)</f>
        <v/>
      </c>
      <c r="Q34" s="31">
        <f>(O34-L34*Q33)/(M34-L34*P33)</f>
        <v/>
      </c>
      <c r="R34" s="32">
        <f>Q34-P34*R35</f>
        <v/>
      </c>
      <c r="S34" s="30">
        <f>IF(A34&lt;=$B$6,$H$8*$B$9^$I$8,IF(A34&lt;=$B$6+$B$7,$H$8*$B$10^$I$8,$H$8*$B$11^$I$8))</f>
        <v/>
      </c>
      <c r="T34" s="30">
        <f>IF(A34=1,0,$B$14)</f>
        <v/>
      </c>
      <c r="U34" s="30">
        <f>IF(A34&gt;$B$6+$B$7,-$B$14-$B$13/S34,IF(A34&gt;$B$6,-$B$14-$B$13*$B$15/S34,-$B$14-($B$13*$B$15+$B$12)/S34))</f>
        <v/>
      </c>
      <c r="V34" s="30">
        <f>IF(A34&gt;$B$6+$B$7,$B$13/S35,IF(A34&gt;=$B$6,$B$13*$B$15/S35,($B$13*$B$15+$B$12)/S35))</f>
        <v/>
      </c>
      <c r="W34" s="30">
        <f>IF(A34=$B$6,-$M$8*$B$12,0)</f>
        <v/>
      </c>
      <c r="X34" s="31">
        <f>V34/(U34-T34*X33)</f>
        <v/>
      </c>
      <c r="Y34" s="31">
        <f>(W34-T34*Y33)/(U34-T34*X33)</f>
        <v/>
      </c>
      <c r="Z34" s="32">
        <f>Y34-X34*Z35</f>
        <v/>
      </c>
      <c r="AA34" s="30">
        <f>IF(A34&lt;=$B$6,$H$9*$B$9^$I$9,IF(A34&lt;=$B$6+$B$7,$H$9*$B$10^$I$9,$H$9*$B$11^$I$9))</f>
        <v/>
      </c>
      <c r="AB34" s="30">
        <f>IF(A34=1,0,$B$14)</f>
        <v/>
      </c>
      <c r="AC34" s="30">
        <f>IF(A34&gt;$B$6+$B$7,-$B$14-$B$13/AA34,IF(A34&gt;$B$6,-$B$14-$B$13*$B$15/AA34,-$B$14-($B$13*$B$15+$B$12)/AA34))</f>
        <v/>
      </c>
      <c r="AD34" s="30">
        <f>IF(A34&gt;$B$6+$B$7,$B$13/AA35,IF(A34&gt;=$B$6,$B$13*$B$15/AA35,($B$13*$B$15+$B$12)/AA35))</f>
        <v/>
      </c>
      <c r="AE34" s="30">
        <f>IF(A34=$B$6,-$M$9*$B$12,0)</f>
        <v/>
      </c>
      <c r="AF34" s="31">
        <f>AD34/(AC34-AB34*AF33)</f>
        <v/>
      </c>
      <c r="AG34" s="31">
        <f>(AE34-AB34*AG33)/(AC34-AB34*AF33)</f>
        <v/>
      </c>
      <c r="AH34" s="32">
        <f>AG34-AF34*AH35</f>
        <v/>
      </c>
      <c r="AI34" s="33">
        <f>IF(C34&lt;&gt;0,J34/C34,0)</f>
        <v/>
      </c>
      <c r="AJ34" s="33">
        <f>IF(K34&lt;&gt;0,R34/K34,0)</f>
        <v/>
      </c>
      <c r="AK34" s="33">
        <f>IF(S34&lt;&gt;0,Z34/S34,0)</f>
        <v/>
      </c>
      <c r="AL34" s="33">
        <f>IF(AA34&lt;&gt;0,AH34/AA34,0)</f>
        <v/>
      </c>
      <c r="AM34" s="32">
        <f>J34+R34+Z34+AH34</f>
        <v/>
      </c>
      <c r="AN34" s="32">
        <f>AI34+AJ34+AK34+AL34</f>
        <v/>
      </c>
    </row>
    <row r="35">
      <c r="A35" s="34" t="n">
        <v>16</v>
      </c>
      <c r="B35" s="35">
        <f>IF(A35&lt;=$B$6,"Extraction",IF(A35&lt;=$B$6+$B$7,"Scrub","Strip"))</f>
        <v/>
      </c>
      <c r="C35" s="30">
        <f>IF(A35&lt;=$B$6,$H$6*$B$9^$I$6,IF(A35&lt;=$B$6+$B$7,$H$6*$B$10^$I$6,$H$6*$B$11^$I$6))</f>
        <v/>
      </c>
      <c r="D35" s="30">
        <f>IF(A35=1,0,$B$14)</f>
        <v/>
      </c>
      <c r="E35" s="30">
        <f>IF(A35&gt;$B$6+$B$7,-$B$14-$B$13/C35,IF(A35&gt;$B$6,-$B$14-$B$13*$B$15/C35,-$B$14-($B$13*$B$15+$B$12)/C35))</f>
        <v/>
      </c>
      <c r="F35" s="30">
        <f>IF(A35&gt;$B$6+$B$7,$B$13/C36,IF(A35&gt;=$B$6,$B$13*$B$15/C36,($B$13*$B$15+$B$12)/C36))</f>
        <v/>
      </c>
      <c r="G35" s="30">
        <f>IF(A35=$B$6,-$M$6*$B$12,0)</f>
        <v/>
      </c>
      <c r="H35" s="31">
        <f>F35/(E35-D35*H34)</f>
        <v/>
      </c>
      <c r="I35" s="31">
        <f>(G35-D35*I34)/(E35-D35*H34)</f>
        <v/>
      </c>
      <c r="J35" s="32">
        <f>I35-H35*J36</f>
        <v/>
      </c>
      <c r="K35" s="30">
        <f>IF(A35&lt;=$B$6,$H$7*$B$9^$I$7,IF(A35&lt;=$B$6+$B$7,$H$7*$B$10^$I$7,$H$7*$B$11^$I$7))</f>
        <v/>
      </c>
      <c r="L35" s="30">
        <f>IF(A35=1,0,$B$14)</f>
        <v/>
      </c>
      <c r="M35" s="30">
        <f>IF(A35&gt;$B$6+$B$7,-$B$14-$B$13/K35,IF(A35&gt;$B$6,-$B$14-$B$13*$B$15/K35,-$B$14-($B$13*$B$15+$B$12)/K35))</f>
        <v/>
      </c>
      <c r="N35" s="30">
        <f>IF(A35&gt;$B$6+$B$7,$B$13/K36,IF(A35&gt;=$B$6,$B$13*$B$15/K36,($B$13*$B$15+$B$12)/K36))</f>
        <v/>
      </c>
      <c r="O35" s="30">
        <f>IF(A35=$B$6,-$M$7*$B$12,0)</f>
        <v/>
      </c>
      <c r="P35" s="31">
        <f>N35/(M35-L35*P34)</f>
        <v/>
      </c>
      <c r="Q35" s="31">
        <f>(O35-L35*Q34)/(M35-L35*P34)</f>
        <v/>
      </c>
      <c r="R35" s="32">
        <f>Q35-P35*R36</f>
        <v/>
      </c>
      <c r="S35" s="30">
        <f>IF(A35&lt;=$B$6,$H$8*$B$9^$I$8,IF(A35&lt;=$B$6+$B$7,$H$8*$B$10^$I$8,$H$8*$B$11^$I$8))</f>
        <v/>
      </c>
      <c r="T35" s="30">
        <f>IF(A35=1,0,$B$14)</f>
        <v/>
      </c>
      <c r="U35" s="30">
        <f>IF(A35&gt;$B$6+$B$7,-$B$14-$B$13/S35,IF(A35&gt;$B$6,-$B$14-$B$13*$B$15/S35,-$B$14-($B$13*$B$15+$B$12)/S35))</f>
        <v/>
      </c>
      <c r="V35" s="30">
        <f>IF(A35&gt;$B$6+$B$7,$B$13/S36,IF(A35&gt;=$B$6,$B$13*$B$15/S36,($B$13*$B$15+$B$12)/S36))</f>
        <v/>
      </c>
      <c r="W35" s="30">
        <f>IF(A35=$B$6,-$M$8*$B$12,0)</f>
        <v/>
      </c>
      <c r="X35" s="31">
        <f>V35/(U35-T35*X34)</f>
        <v/>
      </c>
      <c r="Y35" s="31">
        <f>(W35-T35*Y34)/(U35-T35*X34)</f>
        <v/>
      </c>
      <c r="Z35" s="32">
        <f>Y35-X35*Z36</f>
        <v/>
      </c>
      <c r="AA35" s="30">
        <f>IF(A35&lt;=$B$6,$H$9*$B$9^$I$9,IF(A35&lt;=$B$6+$B$7,$H$9*$B$10^$I$9,$H$9*$B$11^$I$9))</f>
        <v/>
      </c>
      <c r="AB35" s="30">
        <f>IF(A35=1,0,$B$14)</f>
        <v/>
      </c>
      <c r="AC35" s="30">
        <f>IF(A35&gt;$B$6+$B$7,-$B$14-$B$13/AA35,IF(A35&gt;$B$6,-$B$14-$B$13*$B$15/AA35,-$B$14-($B$13*$B$15+$B$12)/AA35))</f>
        <v/>
      </c>
      <c r="AD35" s="30">
        <f>IF(A35&gt;$B$6+$B$7,$B$13/AA36,IF(A35&gt;=$B$6,$B$13*$B$15/AA36,($B$13*$B$15+$B$12)/AA36))</f>
        <v/>
      </c>
      <c r="AE35" s="30">
        <f>IF(A35=$B$6,-$M$9*$B$12,0)</f>
        <v/>
      </c>
      <c r="AF35" s="31">
        <f>AD35/(AC35-AB35*AF34)</f>
        <v/>
      </c>
      <c r="AG35" s="31">
        <f>(AE35-AB35*AG34)/(AC35-AB35*AF34)</f>
        <v/>
      </c>
      <c r="AH35" s="32">
        <f>AG35-AF35*AH36</f>
        <v/>
      </c>
      <c r="AI35" s="33">
        <f>IF(C35&lt;&gt;0,J35/C35,0)</f>
        <v/>
      </c>
      <c r="AJ35" s="33">
        <f>IF(K35&lt;&gt;0,R35/K35,0)</f>
        <v/>
      </c>
      <c r="AK35" s="33">
        <f>IF(S35&lt;&gt;0,Z35/S35,0)</f>
        <v/>
      </c>
      <c r="AL35" s="33">
        <f>IF(AA35&lt;&gt;0,AH35/AA35,0)</f>
        <v/>
      </c>
      <c r="AM35" s="32">
        <f>J35+R35+Z35+AH35</f>
        <v/>
      </c>
      <c r="AN35" s="32">
        <f>AI35+AJ35+AK35+AL35</f>
        <v/>
      </c>
    </row>
    <row r="36">
      <c r="A36" s="34" t="n">
        <v>17</v>
      </c>
      <c r="B36" s="35">
        <f>IF(A36&lt;=$B$6,"Extraction",IF(A36&lt;=$B$6+$B$7,"Scrub","Strip"))</f>
        <v/>
      </c>
      <c r="C36" s="30">
        <f>IF(A36&lt;=$B$6,$H$6*$B$9^$I$6,IF(A36&lt;=$B$6+$B$7,$H$6*$B$10^$I$6,$H$6*$B$11^$I$6))</f>
        <v/>
      </c>
      <c r="D36" s="30">
        <f>IF(A36=1,0,$B$14)</f>
        <v/>
      </c>
      <c r="E36" s="30">
        <f>IF(A36&gt;$B$6+$B$7,-$B$14-$B$13/C36,IF(A36&gt;$B$6,-$B$14-$B$13*$B$15/C36,-$B$14-($B$13*$B$15+$B$12)/C36))</f>
        <v/>
      </c>
      <c r="F36" s="30">
        <f>IF(A36&gt;$B$6+$B$7,$B$13/C37,IF(A36&gt;=$B$6,$B$13*$B$15/C37,($B$13*$B$15+$B$12)/C37))</f>
        <v/>
      </c>
      <c r="G36" s="30">
        <f>IF(A36=$B$6,-$M$6*$B$12,0)</f>
        <v/>
      </c>
      <c r="H36" s="31">
        <f>F36/(E36-D36*H35)</f>
        <v/>
      </c>
      <c r="I36" s="31">
        <f>(G36-D36*I35)/(E36-D36*H35)</f>
        <v/>
      </c>
      <c r="J36" s="32">
        <f>I36-H36*J37</f>
        <v/>
      </c>
      <c r="K36" s="30">
        <f>IF(A36&lt;=$B$6,$H$7*$B$9^$I$7,IF(A36&lt;=$B$6+$B$7,$H$7*$B$10^$I$7,$H$7*$B$11^$I$7))</f>
        <v/>
      </c>
      <c r="L36" s="30">
        <f>IF(A36=1,0,$B$14)</f>
        <v/>
      </c>
      <c r="M36" s="30">
        <f>IF(A36&gt;$B$6+$B$7,-$B$14-$B$13/K36,IF(A36&gt;$B$6,-$B$14-$B$13*$B$15/K36,-$B$14-($B$13*$B$15+$B$12)/K36))</f>
        <v/>
      </c>
      <c r="N36" s="30">
        <f>IF(A36&gt;$B$6+$B$7,$B$13/K37,IF(A36&gt;=$B$6,$B$13*$B$15/K37,($B$13*$B$15+$B$12)/K37))</f>
        <v/>
      </c>
      <c r="O36" s="30">
        <f>IF(A36=$B$6,-$M$7*$B$12,0)</f>
        <v/>
      </c>
      <c r="P36" s="31">
        <f>N36/(M36-L36*P35)</f>
        <v/>
      </c>
      <c r="Q36" s="31">
        <f>(O36-L36*Q35)/(M36-L36*P35)</f>
        <v/>
      </c>
      <c r="R36" s="32">
        <f>Q36-P36*R37</f>
        <v/>
      </c>
      <c r="S36" s="30">
        <f>IF(A36&lt;=$B$6,$H$8*$B$9^$I$8,IF(A36&lt;=$B$6+$B$7,$H$8*$B$10^$I$8,$H$8*$B$11^$I$8))</f>
        <v/>
      </c>
      <c r="T36" s="30">
        <f>IF(A36=1,0,$B$14)</f>
        <v/>
      </c>
      <c r="U36" s="30">
        <f>IF(A36&gt;$B$6+$B$7,-$B$14-$B$13/S36,IF(A36&gt;$B$6,-$B$14-$B$13*$B$15/S36,-$B$14-($B$13*$B$15+$B$12)/S36))</f>
        <v/>
      </c>
      <c r="V36" s="30">
        <f>IF(A36&gt;$B$6+$B$7,$B$13/S37,IF(A36&gt;=$B$6,$B$13*$B$15/S37,($B$13*$B$15+$B$12)/S37))</f>
        <v/>
      </c>
      <c r="W36" s="30">
        <f>IF(A36=$B$6,-$M$8*$B$12,0)</f>
        <v/>
      </c>
      <c r="X36" s="31">
        <f>V36/(U36-T36*X35)</f>
        <v/>
      </c>
      <c r="Y36" s="31">
        <f>(W36-T36*Y35)/(U36-T36*X35)</f>
        <v/>
      </c>
      <c r="Z36" s="32">
        <f>Y36-X36*Z37</f>
        <v/>
      </c>
      <c r="AA36" s="30">
        <f>IF(A36&lt;=$B$6,$H$9*$B$9^$I$9,IF(A36&lt;=$B$6+$B$7,$H$9*$B$10^$I$9,$H$9*$B$11^$I$9))</f>
        <v/>
      </c>
      <c r="AB36" s="30">
        <f>IF(A36=1,0,$B$14)</f>
        <v/>
      </c>
      <c r="AC36" s="30">
        <f>IF(A36&gt;$B$6+$B$7,-$B$14-$B$13/AA36,IF(A36&gt;$B$6,-$B$14-$B$13*$B$15/AA36,-$B$14-($B$13*$B$15+$B$12)/AA36))</f>
        <v/>
      </c>
      <c r="AD36" s="30">
        <f>IF(A36&gt;$B$6+$B$7,$B$13/AA37,IF(A36&gt;=$B$6,$B$13*$B$15/AA37,($B$13*$B$15+$B$12)/AA37))</f>
        <v/>
      </c>
      <c r="AE36" s="30">
        <f>IF(A36=$B$6,-$M$9*$B$12,0)</f>
        <v/>
      </c>
      <c r="AF36" s="31">
        <f>AD36/(AC36-AB36*AF35)</f>
        <v/>
      </c>
      <c r="AG36" s="31">
        <f>(AE36-AB36*AG35)/(AC36-AB36*AF35)</f>
        <v/>
      </c>
      <c r="AH36" s="32">
        <f>AG36-AF36*AH37</f>
        <v/>
      </c>
      <c r="AI36" s="33">
        <f>IF(C36&lt;&gt;0,J36/C36,0)</f>
        <v/>
      </c>
      <c r="AJ36" s="33">
        <f>IF(K36&lt;&gt;0,R36/K36,0)</f>
        <v/>
      </c>
      <c r="AK36" s="33">
        <f>IF(S36&lt;&gt;0,Z36/S36,0)</f>
        <v/>
      </c>
      <c r="AL36" s="33">
        <f>IF(AA36&lt;&gt;0,AH36/AA36,0)</f>
        <v/>
      </c>
      <c r="AM36" s="32">
        <f>J36+R36+Z36+AH36</f>
        <v/>
      </c>
      <c r="AN36" s="32">
        <f>AI36+AJ36+AK36+AL36</f>
        <v/>
      </c>
    </row>
    <row r="37">
      <c r="A37" s="34" t="n">
        <v>18</v>
      </c>
      <c r="B37" s="35">
        <f>IF(A37&lt;=$B$6,"Extraction",IF(A37&lt;=$B$6+$B$7,"Scrub","Strip"))</f>
        <v/>
      </c>
      <c r="C37" s="30">
        <f>IF(A37&lt;=$B$6,$H$6*$B$9^$I$6,IF(A37&lt;=$B$6+$B$7,$H$6*$B$10^$I$6,$H$6*$B$11^$I$6))</f>
        <v/>
      </c>
      <c r="D37" s="30">
        <f>IF(A37=1,0,$B$14)</f>
        <v/>
      </c>
      <c r="E37" s="30">
        <f>IF(A37&gt;$B$6+$B$7,-$B$14-$B$13/C37,IF(A37&gt;$B$6,-$B$14-$B$13*$B$15/C37,-$B$14-($B$13*$B$15+$B$12)/C37))</f>
        <v/>
      </c>
      <c r="F37" s="30">
        <f>IF(A37&gt;$B$6+$B$7,$B$13/C38,IF(A37&gt;=$B$6,$B$13*$B$15/C38,($B$13*$B$15+$B$12)/C38))</f>
        <v/>
      </c>
      <c r="G37" s="30">
        <f>IF(A37=$B$6,-$M$6*$B$12,0)</f>
        <v/>
      </c>
      <c r="H37" s="31">
        <f>F37/(E37-D37*H36)</f>
        <v/>
      </c>
      <c r="I37" s="31">
        <f>(G37-D37*I36)/(E37-D37*H36)</f>
        <v/>
      </c>
      <c r="J37" s="32">
        <f>I37-H37*J38</f>
        <v/>
      </c>
      <c r="K37" s="30">
        <f>IF(A37&lt;=$B$6,$H$7*$B$9^$I$7,IF(A37&lt;=$B$6+$B$7,$H$7*$B$10^$I$7,$H$7*$B$11^$I$7))</f>
        <v/>
      </c>
      <c r="L37" s="30">
        <f>IF(A37=1,0,$B$14)</f>
        <v/>
      </c>
      <c r="M37" s="30">
        <f>IF(A37&gt;$B$6+$B$7,-$B$14-$B$13/K37,IF(A37&gt;$B$6,-$B$14-$B$13*$B$15/K37,-$B$14-($B$13*$B$15+$B$12)/K37))</f>
        <v/>
      </c>
      <c r="N37" s="30">
        <f>IF(A37&gt;$B$6+$B$7,$B$13/K38,IF(A37&gt;=$B$6,$B$13*$B$15/K38,($B$13*$B$15+$B$12)/K38))</f>
        <v/>
      </c>
      <c r="O37" s="30">
        <f>IF(A37=$B$6,-$M$7*$B$12,0)</f>
        <v/>
      </c>
      <c r="P37" s="31">
        <f>N37/(M37-L37*P36)</f>
        <v/>
      </c>
      <c r="Q37" s="31">
        <f>(O37-L37*Q36)/(M37-L37*P36)</f>
        <v/>
      </c>
      <c r="R37" s="32">
        <f>Q37-P37*R38</f>
        <v/>
      </c>
      <c r="S37" s="30">
        <f>IF(A37&lt;=$B$6,$H$8*$B$9^$I$8,IF(A37&lt;=$B$6+$B$7,$H$8*$B$10^$I$8,$H$8*$B$11^$I$8))</f>
        <v/>
      </c>
      <c r="T37" s="30">
        <f>IF(A37=1,0,$B$14)</f>
        <v/>
      </c>
      <c r="U37" s="30">
        <f>IF(A37&gt;$B$6+$B$7,-$B$14-$B$13/S37,IF(A37&gt;$B$6,-$B$14-$B$13*$B$15/S37,-$B$14-($B$13*$B$15+$B$12)/S37))</f>
        <v/>
      </c>
      <c r="V37" s="30">
        <f>IF(A37&gt;$B$6+$B$7,$B$13/S38,IF(A37&gt;=$B$6,$B$13*$B$15/S38,($B$13*$B$15+$B$12)/S38))</f>
        <v/>
      </c>
      <c r="W37" s="30">
        <f>IF(A37=$B$6,-$M$8*$B$12,0)</f>
        <v/>
      </c>
      <c r="X37" s="31">
        <f>V37/(U37-T37*X36)</f>
        <v/>
      </c>
      <c r="Y37" s="31">
        <f>(W37-T37*Y36)/(U37-T37*X36)</f>
        <v/>
      </c>
      <c r="Z37" s="32">
        <f>Y37-X37*Z38</f>
        <v/>
      </c>
      <c r="AA37" s="30">
        <f>IF(A37&lt;=$B$6,$H$9*$B$9^$I$9,IF(A37&lt;=$B$6+$B$7,$H$9*$B$10^$I$9,$H$9*$B$11^$I$9))</f>
        <v/>
      </c>
      <c r="AB37" s="30">
        <f>IF(A37=1,0,$B$14)</f>
        <v/>
      </c>
      <c r="AC37" s="30">
        <f>IF(A37&gt;$B$6+$B$7,-$B$14-$B$13/AA37,IF(A37&gt;$B$6,-$B$14-$B$13*$B$15/AA37,-$B$14-($B$13*$B$15+$B$12)/AA37))</f>
        <v/>
      </c>
      <c r="AD37" s="30">
        <f>IF(A37&gt;$B$6+$B$7,$B$13/AA38,IF(A37&gt;=$B$6,$B$13*$B$15/AA38,($B$13*$B$15+$B$12)/AA38))</f>
        <v/>
      </c>
      <c r="AE37" s="30">
        <f>IF(A37=$B$6,-$M$9*$B$12,0)</f>
        <v/>
      </c>
      <c r="AF37" s="31">
        <f>AD37/(AC37-AB37*AF36)</f>
        <v/>
      </c>
      <c r="AG37" s="31">
        <f>(AE37-AB37*AG36)/(AC37-AB37*AF36)</f>
        <v/>
      </c>
      <c r="AH37" s="32">
        <f>AG37-AF37*AH38</f>
        <v/>
      </c>
      <c r="AI37" s="33">
        <f>IF(C37&lt;&gt;0,J37/C37,0)</f>
        <v/>
      </c>
      <c r="AJ37" s="33">
        <f>IF(K37&lt;&gt;0,R37/K37,0)</f>
        <v/>
      </c>
      <c r="AK37" s="33">
        <f>IF(S37&lt;&gt;0,Z37/S37,0)</f>
        <v/>
      </c>
      <c r="AL37" s="33">
        <f>IF(AA37&lt;&gt;0,AH37/AA37,0)</f>
        <v/>
      </c>
      <c r="AM37" s="32">
        <f>J37+R37+Z37+AH37</f>
        <v/>
      </c>
      <c r="AN37" s="32">
        <f>AI37+AJ37+AK37+AL37</f>
        <v/>
      </c>
    </row>
    <row r="38">
      <c r="A38" s="34" t="n">
        <v>19</v>
      </c>
      <c r="B38" s="35">
        <f>IF(A38&lt;=$B$6,"Extraction",IF(A38&lt;=$B$6+$B$7,"Scrub","Strip"))</f>
        <v/>
      </c>
      <c r="C38" s="30">
        <f>IF(A38&lt;=$B$6,$H$6*$B$9^$I$6,IF(A38&lt;=$B$6+$B$7,$H$6*$B$10^$I$6,$H$6*$B$11^$I$6))</f>
        <v/>
      </c>
      <c r="D38" s="30">
        <f>IF(A38=1,0,$B$14)</f>
        <v/>
      </c>
      <c r="E38" s="30">
        <f>IF(A38&gt;$B$6+$B$7,-$B$14-$B$13/C38,IF(A38&gt;$B$6,-$B$14-$B$13*$B$15/C38,-$B$14-($B$13*$B$15+$B$12)/C38))</f>
        <v/>
      </c>
      <c r="F38" s="30">
        <f>IF(A38&gt;$B$6+$B$7,$B$13/C39,IF(A38&gt;=$B$6,$B$13*$B$15/C39,($B$13*$B$15+$B$12)/C39))</f>
        <v/>
      </c>
      <c r="G38" s="30">
        <f>IF(A38=$B$6,-$M$6*$B$12,0)</f>
        <v/>
      </c>
      <c r="H38" s="31">
        <f>F38/(E38-D38*H37)</f>
        <v/>
      </c>
      <c r="I38" s="31">
        <f>(G38-D38*I37)/(E38-D38*H37)</f>
        <v/>
      </c>
      <c r="J38" s="32">
        <f>I38-H38*J39</f>
        <v/>
      </c>
      <c r="K38" s="30">
        <f>IF(A38&lt;=$B$6,$H$7*$B$9^$I$7,IF(A38&lt;=$B$6+$B$7,$H$7*$B$10^$I$7,$H$7*$B$11^$I$7))</f>
        <v/>
      </c>
      <c r="L38" s="30">
        <f>IF(A38=1,0,$B$14)</f>
        <v/>
      </c>
      <c r="M38" s="30">
        <f>IF(A38&gt;$B$6+$B$7,-$B$14-$B$13/K38,IF(A38&gt;$B$6,-$B$14-$B$13*$B$15/K38,-$B$14-($B$13*$B$15+$B$12)/K38))</f>
        <v/>
      </c>
      <c r="N38" s="30">
        <f>IF(A38&gt;$B$6+$B$7,$B$13/K39,IF(A38&gt;=$B$6,$B$13*$B$15/K39,($B$13*$B$15+$B$12)/K39))</f>
        <v/>
      </c>
      <c r="O38" s="30">
        <f>IF(A38=$B$6,-$M$7*$B$12,0)</f>
        <v/>
      </c>
      <c r="P38" s="31">
        <f>N38/(M38-L38*P37)</f>
        <v/>
      </c>
      <c r="Q38" s="31">
        <f>(O38-L38*Q37)/(M38-L38*P37)</f>
        <v/>
      </c>
      <c r="R38" s="32">
        <f>Q38-P38*R39</f>
        <v/>
      </c>
      <c r="S38" s="30">
        <f>IF(A38&lt;=$B$6,$H$8*$B$9^$I$8,IF(A38&lt;=$B$6+$B$7,$H$8*$B$10^$I$8,$H$8*$B$11^$I$8))</f>
        <v/>
      </c>
      <c r="T38" s="30">
        <f>IF(A38=1,0,$B$14)</f>
        <v/>
      </c>
      <c r="U38" s="30">
        <f>IF(A38&gt;$B$6+$B$7,-$B$14-$B$13/S38,IF(A38&gt;$B$6,-$B$14-$B$13*$B$15/S38,-$B$14-($B$13*$B$15+$B$12)/S38))</f>
        <v/>
      </c>
      <c r="V38" s="30">
        <f>IF(A38&gt;$B$6+$B$7,$B$13/S39,IF(A38&gt;=$B$6,$B$13*$B$15/S39,($B$13*$B$15+$B$12)/S39))</f>
        <v/>
      </c>
      <c r="W38" s="30">
        <f>IF(A38=$B$6,-$M$8*$B$12,0)</f>
        <v/>
      </c>
      <c r="X38" s="31">
        <f>V38/(U38-T38*X37)</f>
        <v/>
      </c>
      <c r="Y38" s="31">
        <f>(W38-T38*Y37)/(U38-T38*X37)</f>
        <v/>
      </c>
      <c r="Z38" s="32">
        <f>Y38-X38*Z39</f>
        <v/>
      </c>
      <c r="AA38" s="30">
        <f>IF(A38&lt;=$B$6,$H$9*$B$9^$I$9,IF(A38&lt;=$B$6+$B$7,$H$9*$B$10^$I$9,$H$9*$B$11^$I$9))</f>
        <v/>
      </c>
      <c r="AB38" s="30">
        <f>IF(A38=1,0,$B$14)</f>
        <v/>
      </c>
      <c r="AC38" s="30">
        <f>IF(A38&gt;$B$6+$B$7,-$B$14-$B$13/AA38,IF(A38&gt;$B$6,-$B$14-$B$13*$B$15/AA38,-$B$14-($B$13*$B$15+$B$12)/AA38))</f>
        <v/>
      </c>
      <c r="AD38" s="30">
        <f>IF(A38&gt;$B$6+$B$7,$B$13/AA39,IF(A38&gt;=$B$6,$B$13*$B$15/AA39,($B$13*$B$15+$B$12)/AA39))</f>
        <v/>
      </c>
      <c r="AE38" s="30">
        <f>IF(A38=$B$6,-$M$9*$B$12,0)</f>
        <v/>
      </c>
      <c r="AF38" s="31">
        <f>AD38/(AC38-AB38*AF37)</f>
        <v/>
      </c>
      <c r="AG38" s="31">
        <f>(AE38-AB38*AG37)/(AC38-AB38*AF37)</f>
        <v/>
      </c>
      <c r="AH38" s="32">
        <f>AG38-AF38*AH39</f>
        <v/>
      </c>
      <c r="AI38" s="33">
        <f>IF(C38&lt;&gt;0,J38/C38,0)</f>
        <v/>
      </c>
      <c r="AJ38" s="33">
        <f>IF(K38&lt;&gt;0,R38/K38,0)</f>
        <v/>
      </c>
      <c r="AK38" s="33">
        <f>IF(S38&lt;&gt;0,Z38/S38,0)</f>
        <v/>
      </c>
      <c r="AL38" s="33">
        <f>IF(AA38&lt;&gt;0,AH38/AA38,0)</f>
        <v/>
      </c>
      <c r="AM38" s="32">
        <f>J38+R38+Z38+AH38</f>
        <v/>
      </c>
      <c r="AN38" s="32">
        <f>AI38+AJ38+AK38+AL38</f>
        <v/>
      </c>
    </row>
    <row r="39">
      <c r="A39" s="34" t="n">
        <v>20</v>
      </c>
      <c r="B39" s="35">
        <f>IF(A39&lt;=$B$6,"Extraction",IF(A39&lt;=$B$6+$B$7,"Scrub","Strip"))</f>
        <v/>
      </c>
      <c r="C39" s="30">
        <f>IF(A39&lt;=$B$6,$H$6*$B$9^$I$6,IF(A39&lt;=$B$6+$B$7,$H$6*$B$10^$I$6,$H$6*$B$11^$I$6))</f>
        <v/>
      </c>
      <c r="D39" s="30">
        <f>IF(A39=1,0,$B$14)</f>
        <v/>
      </c>
      <c r="E39" s="30">
        <f>IF(A39&gt;$B$6+$B$7,-$B$14-$B$13/C39,IF(A39&gt;$B$6,-$B$14-$B$13*$B$15/C39,-$B$14-($B$13*$B$15+$B$12)/C39))</f>
        <v/>
      </c>
      <c r="F39" s="30">
        <f>IF(A39&gt;$B$6+$B$7,$B$13/C40,IF(A39&gt;=$B$6,$B$13*$B$15/C40,($B$13*$B$15+$B$12)/C40))</f>
        <v/>
      </c>
      <c r="G39" s="30">
        <f>IF(A39=$B$6,-$M$6*$B$12,0)</f>
        <v/>
      </c>
      <c r="H39" s="31">
        <f>F39/(E39-D39*H38)</f>
        <v/>
      </c>
      <c r="I39" s="31">
        <f>(G39-D39*I38)/(E39-D39*H38)</f>
        <v/>
      </c>
      <c r="J39" s="32">
        <f>I39-H39*J40</f>
        <v/>
      </c>
      <c r="K39" s="30">
        <f>IF(A39&lt;=$B$6,$H$7*$B$9^$I$7,IF(A39&lt;=$B$6+$B$7,$H$7*$B$10^$I$7,$H$7*$B$11^$I$7))</f>
        <v/>
      </c>
      <c r="L39" s="30">
        <f>IF(A39=1,0,$B$14)</f>
        <v/>
      </c>
      <c r="M39" s="30">
        <f>IF(A39&gt;$B$6+$B$7,-$B$14-$B$13/K39,IF(A39&gt;$B$6,-$B$14-$B$13*$B$15/K39,-$B$14-($B$13*$B$15+$B$12)/K39))</f>
        <v/>
      </c>
      <c r="N39" s="30">
        <f>IF(A39&gt;$B$6+$B$7,$B$13/K40,IF(A39&gt;=$B$6,$B$13*$B$15/K40,($B$13*$B$15+$B$12)/K40))</f>
        <v/>
      </c>
      <c r="O39" s="30">
        <f>IF(A39=$B$6,-$M$7*$B$12,0)</f>
        <v/>
      </c>
      <c r="P39" s="31">
        <f>N39/(M39-L39*P38)</f>
        <v/>
      </c>
      <c r="Q39" s="31">
        <f>(O39-L39*Q38)/(M39-L39*P38)</f>
        <v/>
      </c>
      <c r="R39" s="32">
        <f>Q39-P39*R40</f>
        <v/>
      </c>
      <c r="S39" s="30">
        <f>IF(A39&lt;=$B$6,$H$8*$B$9^$I$8,IF(A39&lt;=$B$6+$B$7,$H$8*$B$10^$I$8,$H$8*$B$11^$I$8))</f>
        <v/>
      </c>
      <c r="T39" s="30">
        <f>IF(A39=1,0,$B$14)</f>
        <v/>
      </c>
      <c r="U39" s="30">
        <f>IF(A39&gt;$B$6+$B$7,-$B$14-$B$13/S39,IF(A39&gt;$B$6,-$B$14-$B$13*$B$15/S39,-$B$14-($B$13*$B$15+$B$12)/S39))</f>
        <v/>
      </c>
      <c r="V39" s="30">
        <f>IF(A39&gt;$B$6+$B$7,$B$13/S40,IF(A39&gt;=$B$6,$B$13*$B$15/S40,($B$13*$B$15+$B$12)/S40))</f>
        <v/>
      </c>
      <c r="W39" s="30">
        <f>IF(A39=$B$6,-$M$8*$B$12,0)</f>
        <v/>
      </c>
      <c r="X39" s="31">
        <f>V39/(U39-T39*X38)</f>
        <v/>
      </c>
      <c r="Y39" s="31">
        <f>(W39-T39*Y38)/(U39-T39*X38)</f>
        <v/>
      </c>
      <c r="Z39" s="32">
        <f>Y39-X39*Z40</f>
        <v/>
      </c>
      <c r="AA39" s="30">
        <f>IF(A39&lt;=$B$6,$H$9*$B$9^$I$9,IF(A39&lt;=$B$6+$B$7,$H$9*$B$10^$I$9,$H$9*$B$11^$I$9))</f>
        <v/>
      </c>
      <c r="AB39" s="30">
        <f>IF(A39=1,0,$B$14)</f>
        <v/>
      </c>
      <c r="AC39" s="30">
        <f>IF(A39&gt;$B$6+$B$7,-$B$14-$B$13/AA39,IF(A39&gt;$B$6,-$B$14-$B$13*$B$15/AA39,-$B$14-($B$13*$B$15+$B$12)/AA39))</f>
        <v/>
      </c>
      <c r="AD39" s="30">
        <f>IF(A39&gt;$B$6+$B$7,$B$13/AA40,IF(A39&gt;=$B$6,$B$13*$B$15/AA40,($B$13*$B$15+$B$12)/AA40))</f>
        <v/>
      </c>
      <c r="AE39" s="30">
        <f>IF(A39=$B$6,-$M$9*$B$12,0)</f>
        <v/>
      </c>
      <c r="AF39" s="31">
        <f>AD39/(AC39-AB39*AF38)</f>
        <v/>
      </c>
      <c r="AG39" s="31">
        <f>(AE39-AB39*AG38)/(AC39-AB39*AF38)</f>
        <v/>
      </c>
      <c r="AH39" s="32">
        <f>AG39-AF39*AH40</f>
        <v/>
      </c>
      <c r="AI39" s="33">
        <f>IF(C39&lt;&gt;0,J39/C39,0)</f>
        <v/>
      </c>
      <c r="AJ39" s="33">
        <f>IF(K39&lt;&gt;0,R39/K39,0)</f>
        <v/>
      </c>
      <c r="AK39" s="33">
        <f>IF(S39&lt;&gt;0,Z39/S39,0)</f>
        <v/>
      </c>
      <c r="AL39" s="33">
        <f>IF(AA39&lt;&gt;0,AH39/AA39,0)</f>
        <v/>
      </c>
      <c r="AM39" s="32">
        <f>J39+R39+Z39+AH39</f>
        <v/>
      </c>
      <c r="AN39" s="32">
        <f>AI39+AJ39+AK39+AL39</f>
        <v/>
      </c>
    </row>
    <row r="40">
      <c r="A40" s="36" t="n">
        <v>21</v>
      </c>
      <c r="B40" s="37">
        <f>IF(A40&lt;=$B$6,"Extraction",IF(A40&lt;=$B$6+$B$7,"Scrub","Strip"))</f>
        <v/>
      </c>
      <c r="C40" s="30">
        <f>IF(A40&lt;=$B$6,$H$6*$B$9^$I$6,IF(A40&lt;=$B$6+$B$7,$H$6*$B$10^$I$6,$H$6*$B$11^$I$6))</f>
        <v/>
      </c>
      <c r="D40" s="30">
        <f>IF(A40=1,0,$B$14)</f>
        <v/>
      </c>
      <c r="E40" s="30">
        <f>IF(A40&gt;$B$6+$B$7,-$B$14-$B$13/C40,IF(A40&gt;$B$6,-$B$14-$B$13*$B$15/C40,-$B$14-($B$13*$B$15+$B$12)/C40))</f>
        <v/>
      </c>
      <c r="F40" s="30">
        <f>IF(A40&gt;$B$6+$B$7,$B$13/C41,IF(A40&gt;=$B$6,$B$13*$B$15/C41,($B$13*$B$15+$B$12)/C41))</f>
        <v/>
      </c>
      <c r="G40" s="30">
        <f>IF(A40=$B$6,-$M$6*$B$12,0)</f>
        <v/>
      </c>
      <c r="H40" s="31">
        <f>F40/(E40-D40*H39)</f>
        <v/>
      </c>
      <c r="I40" s="31">
        <f>(G40-D40*I39)/(E40-D40*H39)</f>
        <v/>
      </c>
      <c r="J40" s="32">
        <f>I40-H40*J41</f>
        <v/>
      </c>
      <c r="K40" s="30">
        <f>IF(A40&lt;=$B$6,$H$7*$B$9^$I$7,IF(A40&lt;=$B$6+$B$7,$H$7*$B$10^$I$7,$H$7*$B$11^$I$7))</f>
        <v/>
      </c>
      <c r="L40" s="30">
        <f>IF(A40=1,0,$B$14)</f>
        <v/>
      </c>
      <c r="M40" s="30">
        <f>IF(A40&gt;$B$6+$B$7,-$B$14-$B$13/K40,IF(A40&gt;$B$6,-$B$14-$B$13*$B$15/K40,-$B$14-($B$13*$B$15+$B$12)/K40))</f>
        <v/>
      </c>
      <c r="N40" s="30">
        <f>IF(A40&gt;$B$6+$B$7,$B$13/K41,IF(A40&gt;=$B$6,$B$13*$B$15/K41,($B$13*$B$15+$B$12)/K41))</f>
        <v/>
      </c>
      <c r="O40" s="30">
        <f>IF(A40=$B$6,-$M$7*$B$12,0)</f>
        <v/>
      </c>
      <c r="P40" s="31">
        <f>N40/(M40-L40*P39)</f>
        <v/>
      </c>
      <c r="Q40" s="31">
        <f>(O40-L40*Q39)/(M40-L40*P39)</f>
        <v/>
      </c>
      <c r="R40" s="32">
        <f>Q40-P40*R41</f>
        <v/>
      </c>
      <c r="S40" s="30">
        <f>IF(A40&lt;=$B$6,$H$8*$B$9^$I$8,IF(A40&lt;=$B$6+$B$7,$H$8*$B$10^$I$8,$H$8*$B$11^$I$8))</f>
        <v/>
      </c>
      <c r="T40" s="30">
        <f>IF(A40=1,0,$B$14)</f>
        <v/>
      </c>
      <c r="U40" s="30">
        <f>IF(A40&gt;$B$6+$B$7,-$B$14-$B$13/S40,IF(A40&gt;$B$6,-$B$14-$B$13*$B$15/S40,-$B$14-($B$13*$B$15+$B$12)/S40))</f>
        <v/>
      </c>
      <c r="V40" s="30">
        <f>IF(A40&gt;$B$6+$B$7,$B$13/S41,IF(A40&gt;=$B$6,$B$13*$B$15/S41,($B$13*$B$15+$B$12)/S41))</f>
        <v/>
      </c>
      <c r="W40" s="30">
        <f>IF(A40=$B$6,-$M$8*$B$12,0)</f>
        <v/>
      </c>
      <c r="X40" s="31">
        <f>V40/(U40-T40*X39)</f>
        <v/>
      </c>
      <c r="Y40" s="31">
        <f>(W40-T40*Y39)/(U40-T40*X39)</f>
        <v/>
      </c>
      <c r="Z40" s="32">
        <f>Y40-X40*Z41</f>
        <v/>
      </c>
      <c r="AA40" s="30">
        <f>IF(A40&lt;=$B$6,$H$9*$B$9^$I$9,IF(A40&lt;=$B$6+$B$7,$H$9*$B$10^$I$9,$H$9*$B$11^$I$9))</f>
        <v/>
      </c>
      <c r="AB40" s="30">
        <f>IF(A40=1,0,$B$14)</f>
        <v/>
      </c>
      <c r="AC40" s="30">
        <f>IF(A40&gt;$B$6+$B$7,-$B$14-$B$13/AA40,IF(A40&gt;$B$6,-$B$14-$B$13*$B$15/AA40,-$B$14-($B$13*$B$15+$B$12)/AA40))</f>
        <v/>
      </c>
      <c r="AD40" s="30">
        <f>IF(A40&gt;$B$6+$B$7,$B$13/AA41,IF(A40&gt;=$B$6,$B$13*$B$15/AA41,($B$13*$B$15+$B$12)/AA41))</f>
        <v/>
      </c>
      <c r="AE40" s="30">
        <f>IF(A40=$B$6,-$M$9*$B$12,0)</f>
        <v/>
      </c>
      <c r="AF40" s="31">
        <f>AD40/(AC40-AB40*AF39)</f>
        <v/>
      </c>
      <c r="AG40" s="31">
        <f>(AE40-AB40*AG39)/(AC40-AB40*AF39)</f>
        <v/>
      </c>
      <c r="AH40" s="32">
        <f>AG40-AF40*AH41</f>
        <v/>
      </c>
      <c r="AI40" s="33">
        <f>IF(C40&lt;&gt;0,J40/C40,0)</f>
        <v/>
      </c>
      <c r="AJ40" s="33">
        <f>IF(K40&lt;&gt;0,R40/K40,0)</f>
        <v/>
      </c>
      <c r="AK40" s="33">
        <f>IF(S40&lt;&gt;0,Z40/S40,0)</f>
        <v/>
      </c>
      <c r="AL40" s="33">
        <f>IF(AA40&lt;&gt;0,AH40/AA40,0)</f>
        <v/>
      </c>
      <c r="AM40" s="32">
        <f>J40+R40+Z40+AH40</f>
        <v/>
      </c>
      <c r="AN40" s="32">
        <f>AI40+AJ40+AK40+AL40</f>
        <v/>
      </c>
    </row>
    <row r="41">
      <c r="A41" s="36" t="n">
        <v>22</v>
      </c>
      <c r="B41" s="37">
        <f>IF(A41&lt;=$B$6,"Extraction",IF(A41&lt;=$B$6+$B$7,"Scrub","Strip"))</f>
        <v/>
      </c>
      <c r="C41" s="30">
        <f>IF(A41&lt;=$B$6,$H$6*$B$9^$I$6,IF(A41&lt;=$B$6+$B$7,$H$6*$B$10^$I$6,$H$6*$B$11^$I$6))</f>
        <v/>
      </c>
      <c r="D41" s="30">
        <f>IF(A41=1,0,$B$14)</f>
        <v/>
      </c>
      <c r="E41" s="30">
        <f>IF(A41&gt;$B$6+$B$7,-$B$14-$B$13/C41,IF(A41&gt;$B$6,-$B$14-$B$13*$B$15/C41,-$B$14-($B$13*$B$15+$B$12)/C41))</f>
        <v/>
      </c>
      <c r="F41" s="30">
        <f>IF(A41&gt;$B$6+$B$7,$B$13/C42,IF(A41&gt;=$B$6,$B$13*$B$15/C42,($B$13*$B$15+$B$12)/C42))</f>
        <v/>
      </c>
      <c r="G41" s="30">
        <f>IF(A41=$B$6,-$M$6*$B$12,0)</f>
        <v/>
      </c>
      <c r="H41" s="31">
        <f>F41/(E41-D41*H40)</f>
        <v/>
      </c>
      <c r="I41" s="31">
        <f>(G41-D41*I40)/(E41-D41*H40)</f>
        <v/>
      </c>
      <c r="J41" s="32">
        <f>I41-H41*J42</f>
        <v/>
      </c>
      <c r="K41" s="30">
        <f>IF(A41&lt;=$B$6,$H$7*$B$9^$I$7,IF(A41&lt;=$B$6+$B$7,$H$7*$B$10^$I$7,$H$7*$B$11^$I$7))</f>
        <v/>
      </c>
      <c r="L41" s="30">
        <f>IF(A41=1,0,$B$14)</f>
        <v/>
      </c>
      <c r="M41" s="30">
        <f>IF(A41&gt;$B$6+$B$7,-$B$14-$B$13/K41,IF(A41&gt;$B$6,-$B$14-$B$13*$B$15/K41,-$B$14-($B$13*$B$15+$B$12)/K41))</f>
        <v/>
      </c>
      <c r="N41" s="30">
        <f>IF(A41&gt;$B$6+$B$7,$B$13/K42,IF(A41&gt;=$B$6,$B$13*$B$15/K42,($B$13*$B$15+$B$12)/K42))</f>
        <v/>
      </c>
      <c r="O41" s="30">
        <f>IF(A41=$B$6,-$M$7*$B$12,0)</f>
        <v/>
      </c>
      <c r="P41" s="31">
        <f>N41/(M41-L41*P40)</f>
        <v/>
      </c>
      <c r="Q41" s="31">
        <f>(O41-L41*Q40)/(M41-L41*P40)</f>
        <v/>
      </c>
      <c r="R41" s="32">
        <f>Q41-P41*R42</f>
        <v/>
      </c>
      <c r="S41" s="30">
        <f>IF(A41&lt;=$B$6,$H$8*$B$9^$I$8,IF(A41&lt;=$B$6+$B$7,$H$8*$B$10^$I$8,$H$8*$B$11^$I$8))</f>
        <v/>
      </c>
      <c r="T41" s="30">
        <f>IF(A41=1,0,$B$14)</f>
        <v/>
      </c>
      <c r="U41" s="30">
        <f>IF(A41&gt;$B$6+$B$7,-$B$14-$B$13/S41,IF(A41&gt;$B$6,-$B$14-$B$13*$B$15/S41,-$B$14-($B$13*$B$15+$B$12)/S41))</f>
        <v/>
      </c>
      <c r="V41" s="30">
        <f>IF(A41&gt;$B$6+$B$7,$B$13/S42,IF(A41&gt;=$B$6,$B$13*$B$15/S42,($B$13*$B$15+$B$12)/S42))</f>
        <v/>
      </c>
      <c r="W41" s="30">
        <f>IF(A41=$B$6,-$M$8*$B$12,0)</f>
        <v/>
      </c>
      <c r="X41" s="31">
        <f>V41/(U41-T41*X40)</f>
        <v/>
      </c>
      <c r="Y41" s="31">
        <f>(W41-T41*Y40)/(U41-T41*X40)</f>
        <v/>
      </c>
      <c r="Z41" s="32">
        <f>Y41-X41*Z42</f>
        <v/>
      </c>
      <c r="AA41" s="30">
        <f>IF(A41&lt;=$B$6,$H$9*$B$9^$I$9,IF(A41&lt;=$B$6+$B$7,$H$9*$B$10^$I$9,$H$9*$B$11^$I$9))</f>
        <v/>
      </c>
      <c r="AB41" s="30">
        <f>IF(A41=1,0,$B$14)</f>
        <v/>
      </c>
      <c r="AC41" s="30">
        <f>IF(A41&gt;$B$6+$B$7,-$B$14-$B$13/AA41,IF(A41&gt;$B$6,-$B$14-$B$13*$B$15/AA41,-$B$14-($B$13*$B$15+$B$12)/AA41))</f>
        <v/>
      </c>
      <c r="AD41" s="30">
        <f>IF(A41&gt;$B$6+$B$7,$B$13/AA42,IF(A41&gt;=$B$6,$B$13*$B$15/AA42,($B$13*$B$15+$B$12)/AA42))</f>
        <v/>
      </c>
      <c r="AE41" s="30">
        <f>IF(A41=$B$6,-$M$9*$B$12,0)</f>
        <v/>
      </c>
      <c r="AF41" s="31">
        <f>AD41/(AC41-AB41*AF40)</f>
        <v/>
      </c>
      <c r="AG41" s="31">
        <f>(AE41-AB41*AG40)/(AC41-AB41*AF40)</f>
        <v/>
      </c>
      <c r="AH41" s="32">
        <f>AG41-AF41*AH42</f>
        <v/>
      </c>
      <c r="AI41" s="33">
        <f>IF(C41&lt;&gt;0,J41/C41,0)</f>
        <v/>
      </c>
      <c r="AJ41" s="33">
        <f>IF(K41&lt;&gt;0,R41/K41,0)</f>
        <v/>
      </c>
      <c r="AK41" s="33">
        <f>IF(S41&lt;&gt;0,Z41/S41,0)</f>
        <v/>
      </c>
      <c r="AL41" s="33">
        <f>IF(AA41&lt;&gt;0,AH41/AA41,0)</f>
        <v/>
      </c>
      <c r="AM41" s="32">
        <f>J41+R41+Z41+AH41</f>
        <v/>
      </c>
      <c r="AN41" s="32">
        <f>AI41+AJ41+AK41+AL41</f>
        <v/>
      </c>
    </row>
    <row r="42">
      <c r="A42" s="36" t="n">
        <v>23</v>
      </c>
      <c r="B42" s="37">
        <f>IF(A42&lt;=$B$6,"Extraction",IF(A42&lt;=$B$6+$B$7,"Scrub","Strip"))</f>
        <v/>
      </c>
      <c r="C42" s="30">
        <f>IF(A42&lt;=$B$6,$H$6*$B$9^$I$6,IF(A42&lt;=$B$6+$B$7,$H$6*$B$10^$I$6,$H$6*$B$11^$I$6))</f>
        <v/>
      </c>
      <c r="D42" s="30">
        <f>IF(A42=1,0,$B$14)</f>
        <v/>
      </c>
      <c r="E42" s="30">
        <f>IF(A42&gt;$B$6+$B$7,-$B$14-$B$13/C42,IF(A42&gt;$B$6,-$B$14-$B$13*$B$15/C42,-$B$14-($B$13*$B$15+$B$12)/C42))</f>
        <v/>
      </c>
      <c r="F42" s="30">
        <f>IF(A42&gt;$B$6+$B$7,$B$13/C43,IF(A42&gt;=$B$6,$B$13*$B$15/C43,($B$13*$B$15+$B$12)/C43))</f>
        <v/>
      </c>
      <c r="G42" s="30">
        <f>IF(A42=$B$6,-$M$6*$B$12,0)</f>
        <v/>
      </c>
      <c r="H42" s="31">
        <f>F42/(E42-D42*H41)</f>
        <v/>
      </c>
      <c r="I42" s="31">
        <f>(G42-D42*I41)/(E42-D42*H41)</f>
        <v/>
      </c>
      <c r="J42" s="32">
        <f>I42-H42*J43</f>
        <v/>
      </c>
      <c r="K42" s="30">
        <f>IF(A42&lt;=$B$6,$H$7*$B$9^$I$7,IF(A42&lt;=$B$6+$B$7,$H$7*$B$10^$I$7,$H$7*$B$11^$I$7))</f>
        <v/>
      </c>
      <c r="L42" s="30">
        <f>IF(A42=1,0,$B$14)</f>
        <v/>
      </c>
      <c r="M42" s="30">
        <f>IF(A42&gt;$B$6+$B$7,-$B$14-$B$13/K42,IF(A42&gt;$B$6,-$B$14-$B$13*$B$15/K42,-$B$14-($B$13*$B$15+$B$12)/K42))</f>
        <v/>
      </c>
      <c r="N42" s="30">
        <f>IF(A42&gt;$B$6+$B$7,$B$13/K43,IF(A42&gt;=$B$6,$B$13*$B$15/K43,($B$13*$B$15+$B$12)/K43))</f>
        <v/>
      </c>
      <c r="O42" s="30">
        <f>IF(A42=$B$6,-$M$7*$B$12,0)</f>
        <v/>
      </c>
      <c r="P42" s="31">
        <f>N42/(M42-L42*P41)</f>
        <v/>
      </c>
      <c r="Q42" s="31">
        <f>(O42-L42*Q41)/(M42-L42*P41)</f>
        <v/>
      </c>
      <c r="R42" s="32">
        <f>Q42-P42*R43</f>
        <v/>
      </c>
      <c r="S42" s="30">
        <f>IF(A42&lt;=$B$6,$H$8*$B$9^$I$8,IF(A42&lt;=$B$6+$B$7,$H$8*$B$10^$I$8,$H$8*$B$11^$I$8))</f>
        <v/>
      </c>
      <c r="T42" s="30">
        <f>IF(A42=1,0,$B$14)</f>
        <v/>
      </c>
      <c r="U42" s="30">
        <f>IF(A42&gt;$B$6+$B$7,-$B$14-$B$13/S42,IF(A42&gt;$B$6,-$B$14-$B$13*$B$15/S42,-$B$14-($B$13*$B$15+$B$12)/S42))</f>
        <v/>
      </c>
      <c r="V42" s="30">
        <f>IF(A42&gt;$B$6+$B$7,$B$13/S43,IF(A42&gt;=$B$6,$B$13*$B$15/S43,($B$13*$B$15+$B$12)/S43))</f>
        <v/>
      </c>
      <c r="W42" s="30">
        <f>IF(A42=$B$6,-$M$8*$B$12,0)</f>
        <v/>
      </c>
      <c r="X42" s="31">
        <f>V42/(U42-T42*X41)</f>
        <v/>
      </c>
      <c r="Y42" s="31">
        <f>(W42-T42*Y41)/(U42-T42*X41)</f>
        <v/>
      </c>
      <c r="Z42" s="32">
        <f>Y42-X42*Z43</f>
        <v/>
      </c>
      <c r="AA42" s="30">
        <f>IF(A42&lt;=$B$6,$H$9*$B$9^$I$9,IF(A42&lt;=$B$6+$B$7,$H$9*$B$10^$I$9,$H$9*$B$11^$I$9))</f>
        <v/>
      </c>
      <c r="AB42" s="30">
        <f>IF(A42=1,0,$B$14)</f>
        <v/>
      </c>
      <c r="AC42" s="30">
        <f>IF(A42&gt;$B$6+$B$7,-$B$14-$B$13/AA42,IF(A42&gt;$B$6,-$B$14-$B$13*$B$15/AA42,-$B$14-($B$13*$B$15+$B$12)/AA42))</f>
        <v/>
      </c>
      <c r="AD42" s="30">
        <f>IF(A42&gt;$B$6+$B$7,$B$13/AA43,IF(A42&gt;=$B$6,$B$13*$B$15/AA43,($B$13*$B$15+$B$12)/AA43))</f>
        <v/>
      </c>
      <c r="AE42" s="30">
        <f>IF(A42=$B$6,-$M$9*$B$12,0)</f>
        <v/>
      </c>
      <c r="AF42" s="31">
        <f>AD42/(AC42-AB42*AF41)</f>
        <v/>
      </c>
      <c r="AG42" s="31">
        <f>(AE42-AB42*AG41)/(AC42-AB42*AF41)</f>
        <v/>
      </c>
      <c r="AH42" s="32">
        <f>AG42-AF42*AH43</f>
        <v/>
      </c>
      <c r="AI42" s="33">
        <f>IF(C42&lt;&gt;0,J42/C42,0)</f>
        <v/>
      </c>
      <c r="AJ42" s="33">
        <f>IF(K42&lt;&gt;0,R42/K42,0)</f>
        <v/>
      </c>
      <c r="AK42" s="33">
        <f>IF(S42&lt;&gt;0,Z42/S42,0)</f>
        <v/>
      </c>
      <c r="AL42" s="33">
        <f>IF(AA42&lt;&gt;0,AH42/AA42,0)</f>
        <v/>
      </c>
      <c r="AM42" s="32">
        <f>J42+R42+Z42+AH42</f>
        <v/>
      </c>
      <c r="AN42" s="32">
        <f>AI42+AJ42+AK42+AL42</f>
        <v/>
      </c>
    </row>
    <row r="43">
      <c r="A43" s="36" t="n">
        <v>24</v>
      </c>
      <c r="B43" s="37">
        <f>IF(A43&lt;=$B$6,"Extraction",IF(A43&lt;=$B$6+$B$7,"Scrub","Strip"))</f>
        <v/>
      </c>
      <c r="C43" s="30">
        <f>IF(A43&lt;=$B$6,$H$6*$B$9^$I$6,IF(A43&lt;=$B$6+$B$7,$H$6*$B$10^$I$6,$H$6*$B$11^$I$6))</f>
        <v/>
      </c>
      <c r="D43" s="30">
        <f>IF(A43=1,0,$B$14)</f>
        <v/>
      </c>
      <c r="E43" s="30">
        <f>IF(A43&gt;$B$6+$B$7,-$B$14-$B$13/C43,IF(A43&gt;$B$6,-$B$14-$B$13*$B$15/C43,-$B$14-($B$13*$B$15+$B$12)/C43))</f>
        <v/>
      </c>
      <c r="F43" s="30">
        <f>IF(A43&gt;$B$6+$B$7,$B$13/C44,IF(A43&gt;=$B$6,$B$13*$B$15/C44,($B$13*$B$15+$B$12)/C44))</f>
        <v/>
      </c>
      <c r="G43" s="30">
        <f>IF(A43=$B$6,-$M$6*$B$12,0)</f>
        <v/>
      </c>
      <c r="H43" s="31">
        <f>F43/(E43-D43*H42)</f>
        <v/>
      </c>
      <c r="I43" s="31">
        <f>(G43-D43*I42)/(E43-D43*H42)</f>
        <v/>
      </c>
      <c r="J43" s="32">
        <f>I43-H43*J44</f>
        <v/>
      </c>
      <c r="K43" s="30">
        <f>IF(A43&lt;=$B$6,$H$7*$B$9^$I$7,IF(A43&lt;=$B$6+$B$7,$H$7*$B$10^$I$7,$H$7*$B$11^$I$7))</f>
        <v/>
      </c>
      <c r="L43" s="30">
        <f>IF(A43=1,0,$B$14)</f>
        <v/>
      </c>
      <c r="M43" s="30">
        <f>IF(A43&gt;$B$6+$B$7,-$B$14-$B$13/K43,IF(A43&gt;$B$6,-$B$14-$B$13*$B$15/K43,-$B$14-($B$13*$B$15+$B$12)/K43))</f>
        <v/>
      </c>
      <c r="N43" s="30">
        <f>IF(A43&gt;$B$6+$B$7,$B$13/K44,IF(A43&gt;=$B$6,$B$13*$B$15/K44,($B$13*$B$15+$B$12)/K44))</f>
        <v/>
      </c>
      <c r="O43" s="30">
        <f>IF(A43=$B$6,-$M$7*$B$12,0)</f>
        <v/>
      </c>
      <c r="P43" s="31">
        <f>N43/(M43-L43*P42)</f>
        <v/>
      </c>
      <c r="Q43" s="31">
        <f>(O43-L43*Q42)/(M43-L43*P42)</f>
        <v/>
      </c>
      <c r="R43" s="32">
        <f>Q43-P43*R44</f>
        <v/>
      </c>
      <c r="S43" s="30">
        <f>IF(A43&lt;=$B$6,$H$8*$B$9^$I$8,IF(A43&lt;=$B$6+$B$7,$H$8*$B$10^$I$8,$H$8*$B$11^$I$8))</f>
        <v/>
      </c>
      <c r="T43" s="30">
        <f>IF(A43=1,0,$B$14)</f>
        <v/>
      </c>
      <c r="U43" s="30">
        <f>IF(A43&gt;$B$6+$B$7,-$B$14-$B$13/S43,IF(A43&gt;$B$6,-$B$14-$B$13*$B$15/S43,-$B$14-($B$13*$B$15+$B$12)/S43))</f>
        <v/>
      </c>
      <c r="V43" s="30">
        <f>IF(A43&gt;$B$6+$B$7,$B$13/S44,IF(A43&gt;=$B$6,$B$13*$B$15/S44,($B$13*$B$15+$B$12)/S44))</f>
        <v/>
      </c>
      <c r="W43" s="30">
        <f>IF(A43=$B$6,-$M$8*$B$12,0)</f>
        <v/>
      </c>
      <c r="X43" s="31">
        <f>V43/(U43-T43*X42)</f>
        <v/>
      </c>
      <c r="Y43" s="31">
        <f>(W43-T43*Y42)/(U43-T43*X42)</f>
        <v/>
      </c>
      <c r="Z43" s="32">
        <f>Y43-X43*Z44</f>
        <v/>
      </c>
      <c r="AA43" s="30">
        <f>IF(A43&lt;=$B$6,$H$9*$B$9^$I$9,IF(A43&lt;=$B$6+$B$7,$H$9*$B$10^$I$9,$H$9*$B$11^$I$9))</f>
        <v/>
      </c>
      <c r="AB43" s="30">
        <f>IF(A43=1,0,$B$14)</f>
        <v/>
      </c>
      <c r="AC43" s="30">
        <f>IF(A43&gt;$B$6+$B$7,-$B$14-$B$13/AA43,IF(A43&gt;$B$6,-$B$14-$B$13*$B$15/AA43,-$B$14-($B$13*$B$15+$B$12)/AA43))</f>
        <v/>
      </c>
      <c r="AD43" s="30">
        <f>IF(A43&gt;$B$6+$B$7,$B$13/AA44,IF(A43&gt;=$B$6,$B$13*$B$15/AA44,($B$13*$B$15+$B$12)/AA44))</f>
        <v/>
      </c>
      <c r="AE43" s="30">
        <f>IF(A43=$B$6,-$M$9*$B$12,0)</f>
        <v/>
      </c>
      <c r="AF43" s="31">
        <f>AD43/(AC43-AB43*AF42)</f>
        <v/>
      </c>
      <c r="AG43" s="31">
        <f>(AE43-AB43*AG42)/(AC43-AB43*AF42)</f>
        <v/>
      </c>
      <c r="AH43" s="32">
        <f>AG43-AF43*AH44</f>
        <v/>
      </c>
      <c r="AI43" s="33">
        <f>IF(C43&lt;&gt;0,J43/C43,0)</f>
        <v/>
      </c>
      <c r="AJ43" s="33">
        <f>IF(K43&lt;&gt;0,R43/K43,0)</f>
        <v/>
      </c>
      <c r="AK43" s="33">
        <f>IF(S43&lt;&gt;0,Z43/S43,0)</f>
        <v/>
      </c>
      <c r="AL43" s="33">
        <f>IF(AA43&lt;&gt;0,AH43/AA43,0)</f>
        <v/>
      </c>
      <c r="AM43" s="32">
        <f>J43+R43+Z43+AH43</f>
        <v/>
      </c>
      <c r="AN43" s="32">
        <f>AI43+AJ43+AK43+AL43</f>
        <v/>
      </c>
    </row>
    <row r="44">
      <c r="A44" s="36" t="n">
        <v>25</v>
      </c>
      <c r="B44" s="37">
        <f>IF(A44&lt;=$B$6,"Extraction",IF(A44&lt;=$B$6+$B$7,"Scrub","Strip"))</f>
        <v/>
      </c>
      <c r="C44" s="30">
        <f>IF(A44&lt;=$B$6,$H$6*$B$9^$I$6,IF(A44&lt;=$B$6+$B$7,$H$6*$B$10^$I$6,$H$6*$B$11^$I$6))</f>
        <v/>
      </c>
      <c r="D44" s="30">
        <f>IF(A44=1,0,$B$14)</f>
        <v/>
      </c>
      <c r="E44" s="30">
        <f>IF(A44&gt;$B$6+$B$7,-$B$14-$B$13/C44,IF(A44&gt;$B$6,-$B$14-$B$13*$B$15/C44,-$B$14-($B$13*$B$15+$B$12)/C44))</f>
        <v/>
      </c>
      <c r="F44" s="30">
        <f>0</f>
        <v/>
      </c>
      <c r="G44" s="30">
        <f>IF(A44=$B$6,-$M$6*$B$12,0)</f>
        <v/>
      </c>
      <c r="H44" s="31">
        <f>F44/(E44-D44*H43)</f>
        <v/>
      </c>
      <c r="I44" s="31">
        <f>(G44-D44*I43)/(E44-D44*H43)</f>
        <v/>
      </c>
      <c r="J44" s="32">
        <f>I44</f>
        <v/>
      </c>
      <c r="K44" s="30">
        <f>IF(A44&lt;=$B$6,$H$7*$B$9^$I$7,IF(A44&lt;=$B$6+$B$7,$H$7*$B$10^$I$7,$H$7*$B$11^$I$7))</f>
        <v/>
      </c>
      <c r="L44" s="30">
        <f>IF(A44=1,0,$B$14)</f>
        <v/>
      </c>
      <c r="M44" s="30">
        <f>IF(A44&gt;$B$6+$B$7,-$B$14-$B$13/K44,IF(A44&gt;$B$6,-$B$14-$B$13*$B$15/K44,-$B$14-($B$13*$B$15+$B$12)/K44))</f>
        <v/>
      </c>
      <c r="N44" s="30">
        <f>0</f>
        <v/>
      </c>
      <c r="O44" s="30">
        <f>IF(A44=$B$6,-$M$7*$B$12,0)</f>
        <v/>
      </c>
      <c r="P44" s="31">
        <f>N44/(M44-L44*P43)</f>
        <v/>
      </c>
      <c r="Q44" s="31">
        <f>(O44-L44*Q43)/(M44-L44*P43)</f>
        <v/>
      </c>
      <c r="R44" s="32">
        <f>Q44</f>
        <v/>
      </c>
      <c r="S44" s="30">
        <f>IF(A44&lt;=$B$6,$H$8*$B$9^$I$8,IF(A44&lt;=$B$6+$B$7,$H$8*$B$10^$I$8,$H$8*$B$11^$I$8))</f>
        <v/>
      </c>
      <c r="T44" s="30">
        <f>IF(A44=1,0,$B$14)</f>
        <v/>
      </c>
      <c r="U44" s="30">
        <f>IF(A44&gt;$B$6+$B$7,-$B$14-$B$13/S44,IF(A44&gt;$B$6,-$B$14-$B$13*$B$15/S44,-$B$14-($B$13*$B$15+$B$12)/S44))</f>
        <v/>
      </c>
      <c r="V44" s="30">
        <f>0</f>
        <v/>
      </c>
      <c r="W44" s="30">
        <f>IF(A44=$B$6,-$M$8*$B$12,0)</f>
        <v/>
      </c>
      <c r="X44" s="31">
        <f>V44/(U44-T44*X43)</f>
        <v/>
      </c>
      <c r="Y44" s="31">
        <f>(W44-T44*Y43)/(U44-T44*X43)</f>
        <v/>
      </c>
      <c r="Z44" s="32">
        <f>Y44</f>
        <v/>
      </c>
      <c r="AA44" s="30">
        <f>IF(A44&lt;=$B$6,$H$9*$B$9^$I$9,IF(A44&lt;=$B$6+$B$7,$H$9*$B$10^$I$9,$H$9*$B$11^$I$9))</f>
        <v/>
      </c>
      <c r="AB44" s="30">
        <f>IF(A44=1,0,$B$14)</f>
        <v/>
      </c>
      <c r="AC44" s="30">
        <f>IF(A44&gt;$B$6+$B$7,-$B$14-$B$13/AA44,IF(A44&gt;$B$6,-$B$14-$B$13*$B$15/AA44,-$B$14-($B$13*$B$15+$B$12)/AA44))</f>
        <v/>
      </c>
      <c r="AD44" s="30">
        <f>0</f>
        <v/>
      </c>
      <c r="AE44" s="30">
        <f>IF(A44=$B$6,-$M$9*$B$12,0)</f>
        <v/>
      </c>
      <c r="AF44" s="31">
        <f>AD44/(AC44-AB44*AF43)</f>
        <v/>
      </c>
      <c r="AG44" s="31">
        <f>(AE44-AB44*AG43)/(AC44-AB44*AF43)</f>
        <v/>
      </c>
      <c r="AH44" s="32">
        <f>AG44</f>
        <v/>
      </c>
      <c r="AI44" s="33">
        <f>IF(C44&lt;&gt;0,J44/C44,0)</f>
        <v/>
      </c>
      <c r="AJ44" s="33">
        <f>IF(K44&lt;&gt;0,R44/K44,0)</f>
        <v/>
      </c>
      <c r="AK44" s="33">
        <f>IF(S44&lt;&gt;0,Z44/S44,0)</f>
        <v/>
      </c>
      <c r="AL44" s="33">
        <f>IF(AA44&lt;&gt;0,AH44/AA44,0)</f>
        <v/>
      </c>
      <c r="AM44" s="32">
        <f>J44+R44+Z44+AH44</f>
        <v/>
      </c>
      <c r="AN44" s="32">
        <f>AI44+AJ44+AK44+AL44</f>
        <v/>
      </c>
    </row>
    <row r="46" ht="6" customHeight="1"/>
    <row r="47" ht="20" customHeight="1">
      <c r="A47" s="7" t="inlineStr">
        <is>
          <t xml:space="preserve">  STAGE PROFILE  ·  Aqueous concentrations (g/L)  ·  Source for charts</t>
        </is>
      </c>
    </row>
    <row r="48" ht="28" customHeight="1">
      <c r="A48" s="29" t="n">
        <v>1</v>
      </c>
      <c r="B48" s="29" t="inlineStr">
        <is>
          <t>Extraction</t>
        </is>
      </c>
      <c r="C48" s="33">
        <f>$AI$20</f>
        <v/>
      </c>
      <c r="D48" s="33">
        <f>$AJ$20</f>
        <v/>
      </c>
      <c r="E48" s="33">
        <f>$AK$20</f>
        <v/>
      </c>
      <c r="F48" s="33">
        <f>$AL$20</f>
        <v/>
      </c>
      <c r="G48" s="33">
        <f>C48+D48</f>
        <v/>
      </c>
      <c r="H48" s="38">
        <f>IF((C48+D48+E48+F48)=0,0,(C48+D48)/(C48+D48+E48+F48)*100)</f>
        <v/>
      </c>
      <c r="I48" s="38">
        <f>IF((C48+D48+E48+F48)=0,0,F48/(C48+D48+E48+F48)*100)</f>
        <v/>
      </c>
    </row>
    <row r="49">
      <c r="A49" s="29" t="n">
        <v>2</v>
      </c>
      <c r="B49" s="29" t="inlineStr">
        <is>
          <t>Extraction</t>
        </is>
      </c>
      <c r="C49" s="33">
        <f>$AI$21</f>
        <v/>
      </c>
      <c r="D49" s="33">
        <f>$AJ$21</f>
        <v/>
      </c>
      <c r="E49" s="33">
        <f>$AK$21</f>
        <v/>
      </c>
      <c r="F49" s="33">
        <f>$AL$21</f>
        <v/>
      </c>
      <c r="G49" s="33">
        <f>C49+D49</f>
        <v/>
      </c>
      <c r="H49" s="38">
        <f>IF((C49+D49+E49+F49)=0,0,(C49+D49)/(C49+D49+E49+F49)*100)</f>
        <v/>
      </c>
      <c r="I49" s="38">
        <f>IF((C49+D49+E49+F49)=0,0,F49/(C49+D49+E49+F49)*100)</f>
        <v/>
      </c>
    </row>
    <row r="50">
      <c r="A50" s="29" t="n">
        <v>3</v>
      </c>
      <c r="B50" s="29" t="inlineStr">
        <is>
          <t>Extraction</t>
        </is>
      </c>
      <c r="C50" s="33">
        <f>$AI$22</f>
        <v/>
      </c>
      <c r="D50" s="33">
        <f>$AJ$22</f>
        <v/>
      </c>
      <c r="E50" s="33">
        <f>$AK$22</f>
        <v/>
      </c>
      <c r="F50" s="33">
        <f>$AL$22</f>
        <v/>
      </c>
      <c r="G50" s="33">
        <f>C50+D50</f>
        <v/>
      </c>
      <c r="H50" s="38">
        <f>IF((C50+D50+E50+F50)=0,0,(C50+D50)/(C50+D50+E50+F50)*100)</f>
        <v/>
      </c>
      <c r="I50" s="38">
        <f>IF((C50+D50+E50+F50)=0,0,F50/(C50+D50+E50+F50)*100)</f>
        <v/>
      </c>
    </row>
    <row r="51">
      <c r="A51" s="29" t="n">
        <v>4</v>
      </c>
      <c r="B51" s="29" t="inlineStr">
        <is>
          <t>Extraction</t>
        </is>
      </c>
      <c r="C51" s="33">
        <f>$AI$23</f>
        <v/>
      </c>
      <c r="D51" s="33">
        <f>$AJ$23</f>
        <v/>
      </c>
      <c r="E51" s="33">
        <f>$AK$23</f>
        <v/>
      </c>
      <c r="F51" s="33">
        <f>$AL$23</f>
        <v/>
      </c>
      <c r="G51" s="33">
        <f>C51+D51</f>
        <v/>
      </c>
      <c r="H51" s="38">
        <f>IF((C51+D51+E51+F51)=0,0,(C51+D51)/(C51+D51+E51+F51)*100)</f>
        <v/>
      </c>
      <c r="I51" s="38">
        <f>IF((C51+D51+E51+F51)=0,0,F51/(C51+D51+E51+F51)*100)</f>
        <v/>
      </c>
    </row>
    <row r="52">
      <c r="A52" s="29" t="n">
        <v>5</v>
      </c>
      <c r="B52" s="29" t="inlineStr">
        <is>
          <t>Extraction</t>
        </is>
      </c>
      <c r="C52" s="33">
        <f>$AI$24</f>
        <v/>
      </c>
      <c r="D52" s="33">
        <f>$AJ$24</f>
        <v/>
      </c>
      <c r="E52" s="33">
        <f>$AK$24</f>
        <v/>
      </c>
      <c r="F52" s="33">
        <f>$AL$24</f>
        <v/>
      </c>
      <c r="G52" s="33">
        <f>C52+D52</f>
        <v/>
      </c>
      <c r="H52" s="38">
        <f>IF((C52+D52+E52+F52)=0,0,(C52+D52)/(C52+D52+E52+F52)*100)</f>
        <v/>
      </c>
      <c r="I52" s="38">
        <f>IF((C52+D52+E52+F52)=0,0,F52/(C52+D52+E52+F52)*100)</f>
        <v/>
      </c>
    </row>
    <row r="53">
      <c r="A53" s="29" t="n">
        <v>6</v>
      </c>
      <c r="B53" s="29" t="inlineStr">
        <is>
          <t>Extraction</t>
        </is>
      </c>
      <c r="C53" s="33">
        <f>$AI$25</f>
        <v/>
      </c>
      <c r="D53" s="33">
        <f>$AJ$25</f>
        <v/>
      </c>
      <c r="E53" s="33">
        <f>$AK$25</f>
        <v/>
      </c>
      <c r="F53" s="33">
        <f>$AL$25</f>
        <v/>
      </c>
      <c r="G53" s="33">
        <f>C53+D53</f>
        <v/>
      </c>
      <c r="H53" s="38">
        <f>IF((C53+D53+E53+F53)=0,0,(C53+D53)/(C53+D53+E53+F53)*100)</f>
        <v/>
      </c>
      <c r="I53" s="38">
        <f>IF((C53+D53+E53+F53)=0,0,F53/(C53+D53+E53+F53)*100)</f>
        <v/>
      </c>
    </row>
    <row r="54">
      <c r="A54" s="29" t="n">
        <v>7</v>
      </c>
      <c r="B54" s="29" t="inlineStr">
        <is>
          <t>Extraction</t>
        </is>
      </c>
      <c r="C54" s="33">
        <f>$AI$26</f>
        <v/>
      </c>
      <c r="D54" s="33">
        <f>$AJ$26</f>
        <v/>
      </c>
      <c r="E54" s="33">
        <f>$AK$26</f>
        <v/>
      </c>
      <c r="F54" s="33">
        <f>$AL$26</f>
        <v/>
      </c>
      <c r="G54" s="33">
        <f>C54+D54</f>
        <v/>
      </c>
      <c r="H54" s="38">
        <f>IF((C54+D54+E54+F54)=0,0,(C54+D54)/(C54+D54+E54+F54)*100)</f>
        <v/>
      </c>
      <c r="I54" s="38">
        <f>IF((C54+D54+E54+F54)=0,0,F54/(C54+D54+E54+F54)*100)</f>
        <v/>
      </c>
    </row>
    <row r="55">
      <c r="A55" s="29" t="n">
        <v>8</v>
      </c>
      <c r="B55" s="29" t="inlineStr">
        <is>
          <t>Extraction</t>
        </is>
      </c>
      <c r="C55" s="33">
        <f>$AI$27</f>
        <v/>
      </c>
      <c r="D55" s="33">
        <f>$AJ$27</f>
        <v/>
      </c>
      <c r="E55" s="33">
        <f>$AK$27</f>
        <v/>
      </c>
      <c r="F55" s="33">
        <f>$AL$27</f>
        <v/>
      </c>
      <c r="G55" s="33">
        <f>C55+D55</f>
        <v/>
      </c>
      <c r="H55" s="38">
        <f>IF((C55+D55+E55+F55)=0,0,(C55+D55)/(C55+D55+E55+F55)*100)</f>
        <v/>
      </c>
      <c r="I55" s="38">
        <f>IF((C55+D55+E55+F55)=0,0,F55/(C55+D55+E55+F55)*100)</f>
        <v/>
      </c>
    </row>
    <row r="56">
      <c r="A56" s="29" t="n">
        <v>9</v>
      </c>
      <c r="B56" s="29" t="inlineStr">
        <is>
          <t>Extraction</t>
        </is>
      </c>
      <c r="C56" s="33">
        <f>$AI$28</f>
        <v/>
      </c>
      <c r="D56" s="33">
        <f>$AJ$28</f>
        <v/>
      </c>
      <c r="E56" s="33">
        <f>$AK$28</f>
        <v/>
      </c>
      <c r="F56" s="33">
        <f>$AL$28</f>
        <v/>
      </c>
      <c r="G56" s="33">
        <f>C56+D56</f>
        <v/>
      </c>
      <c r="H56" s="38">
        <f>IF((C56+D56+E56+F56)=0,0,(C56+D56)/(C56+D56+E56+F56)*100)</f>
        <v/>
      </c>
      <c r="I56" s="38">
        <f>IF((C56+D56+E56+F56)=0,0,F56/(C56+D56+E56+F56)*100)</f>
        <v/>
      </c>
    </row>
    <row r="57">
      <c r="A57" s="29" t="n">
        <v>10</v>
      </c>
      <c r="B57" s="29" t="inlineStr">
        <is>
          <t>Extraction</t>
        </is>
      </c>
      <c r="C57" s="33">
        <f>$AI$29</f>
        <v/>
      </c>
      <c r="D57" s="33">
        <f>$AJ$29</f>
        <v/>
      </c>
      <c r="E57" s="33">
        <f>$AK$29</f>
        <v/>
      </c>
      <c r="F57" s="33">
        <f>$AL$29</f>
        <v/>
      </c>
      <c r="G57" s="33">
        <f>C57+D57</f>
        <v/>
      </c>
      <c r="H57" s="38">
        <f>IF((C57+D57+E57+F57)=0,0,(C57+D57)/(C57+D57+E57+F57)*100)</f>
        <v/>
      </c>
      <c r="I57" s="38">
        <f>IF((C57+D57+E57+F57)=0,0,F57/(C57+D57+E57+F57)*100)</f>
        <v/>
      </c>
    </row>
    <row r="58">
      <c r="A58" s="35" t="n">
        <v>11</v>
      </c>
      <c r="B58" s="35" t="inlineStr">
        <is>
          <t>Scrub</t>
        </is>
      </c>
      <c r="C58" s="33">
        <f>$AI$30</f>
        <v/>
      </c>
      <c r="D58" s="33">
        <f>$AJ$30</f>
        <v/>
      </c>
      <c r="E58" s="33">
        <f>$AK$30</f>
        <v/>
      </c>
      <c r="F58" s="33">
        <f>$AL$30</f>
        <v/>
      </c>
      <c r="G58" s="33">
        <f>C58+D58</f>
        <v/>
      </c>
      <c r="H58" s="38">
        <f>IF((C58+D58+E58+F58)=0,0,(C58+D58)/(C58+D58+E58+F58)*100)</f>
        <v/>
      </c>
      <c r="I58" s="38">
        <f>IF((C58+D58+E58+F58)=0,0,F58/(C58+D58+E58+F58)*100)</f>
        <v/>
      </c>
    </row>
    <row r="59">
      <c r="A59" s="35" t="n">
        <v>12</v>
      </c>
      <c r="B59" s="35" t="inlineStr">
        <is>
          <t>Scrub</t>
        </is>
      </c>
      <c r="C59" s="33">
        <f>$AI$31</f>
        <v/>
      </c>
      <c r="D59" s="33">
        <f>$AJ$31</f>
        <v/>
      </c>
      <c r="E59" s="33">
        <f>$AK$31</f>
        <v/>
      </c>
      <c r="F59" s="33">
        <f>$AL$31</f>
        <v/>
      </c>
      <c r="G59" s="33">
        <f>C59+D59</f>
        <v/>
      </c>
      <c r="H59" s="38">
        <f>IF((C59+D59+E59+F59)=0,0,(C59+D59)/(C59+D59+E59+F59)*100)</f>
        <v/>
      </c>
      <c r="I59" s="38">
        <f>IF((C59+D59+E59+F59)=0,0,F59/(C59+D59+E59+F59)*100)</f>
        <v/>
      </c>
    </row>
    <row r="60">
      <c r="A60" s="35" t="n">
        <v>13</v>
      </c>
      <c r="B60" s="35" t="inlineStr">
        <is>
          <t>Scrub</t>
        </is>
      </c>
      <c r="C60" s="33">
        <f>$AI$32</f>
        <v/>
      </c>
      <c r="D60" s="33">
        <f>$AJ$32</f>
        <v/>
      </c>
      <c r="E60" s="33">
        <f>$AK$32</f>
        <v/>
      </c>
      <c r="F60" s="33">
        <f>$AL$32</f>
        <v/>
      </c>
      <c r="G60" s="33">
        <f>C60+D60</f>
        <v/>
      </c>
      <c r="H60" s="38">
        <f>IF((C60+D60+E60+F60)=0,0,(C60+D60)/(C60+D60+E60+F60)*100)</f>
        <v/>
      </c>
      <c r="I60" s="38">
        <f>IF((C60+D60+E60+F60)=0,0,F60/(C60+D60+E60+F60)*100)</f>
        <v/>
      </c>
    </row>
    <row r="61">
      <c r="A61" s="35" t="n">
        <v>14</v>
      </c>
      <c r="B61" s="35" t="inlineStr">
        <is>
          <t>Scrub</t>
        </is>
      </c>
      <c r="C61" s="33">
        <f>$AI$33</f>
        <v/>
      </c>
      <c r="D61" s="33">
        <f>$AJ$33</f>
        <v/>
      </c>
      <c r="E61" s="33">
        <f>$AK$33</f>
        <v/>
      </c>
      <c r="F61" s="33">
        <f>$AL$33</f>
        <v/>
      </c>
      <c r="G61" s="33">
        <f>C61+D61</f>
        <v/>
      </c>
      <c r="H61" s="38">
        <f>IF((C61+D61+E61+F61)=0,0,(C61+D61)/(C61+D61+E61+F61)*100)</f>
        <v/>
      </c>
      <c r="I61" s="38">
        <f>IF((C61+D61+E61+F61)=0,0,F61/(C61+D61+E61+F61)*100)</f>
        <v/>
      </c>
    </row>
    <row r="62">
      <c r="A62" s="35" t="n">
        <v>15</v>
      </c>
      <c r="B62" s="35" t="inlineStr">
        <is>
          <t>Scrub</t>
        </is>
      </c>
      <c r="C62" s="33">
        <f>$AI$34</f>
        <v/>
      </c>
      <c r="D62" s="33">
        <f>$AJ$34</f>
        <v/>
      </c>
      <c r="E62" s="33">
        <f>$AK$34</f>
        <v/>
      </c>
      <c r="F62" s="33">
        <f>$AL$34</f>
        <v/>
      </c>
      <c r="G62" s="33">
        <f>C62+D62</f>
        <v/>
      </c>
      <c r="H62" s="38">
        <f>IF((C62+D62+E62+F62)=0,0,(C62+D62)/(C62+D62+E62+F62)*100)</f>
        <v/>
      </c>
      <c r="I62" s="38">
        <f>IF((C62+D62+E62+F62)=0,0,F62/(C62+D62+E62+F62)*100)</f>
        <v/>
      </c>
    </row>
    <row r="63">
      <c r="A63" s="35" t="n">
        <v>16</v>
      </c>
      <c r="B63" s="35" t="inlineStr">
        <is>
          <t>Scrub</t>
        </is>
      </c>
      <c r="C63" s="33">
        <f>$AI$35</f>
        <v/>
      </c>
      <c r="D63" s="33">
        <f>$AJ$35</f>
        <v/>
      </c>
      <c r="E63" s="33">
        <f>$AK$35</f>
        <v/>
      </c>
      <c r="F63" s="33">
        <f>$AL$35</f>
        <v/>
      </c>
      <c r="G63" s="33">
        <f>C63+D63</f>
        <v/>
      </c>
      <c r="H63" s="38">
        <f>IF((C63+D63+E63+F63)=0,0,(C63+D63)/(C63+D63+E63+F63)*100)</f>
        <v/>
      </c>
      <c r="I63" s="38">
        <f>IF((C63+D63+E63+F63)=0,0,F63/(C63+D63+E63+F63)*100)</f>
        <v/>
      </c>
    </row>
    <row r="64">
      <c r="A64" s="35" t="n">
        <v>17</v>
      </c>
      <c r="B64" s="35" t="inlineStr">
        <is>
          <t>Scrub</t>
        </is>
      </c>
      <c r="C64" s="33">
        <f>$AI$36</f>
        <v/>
      </c>
      <c r="D64" s="33">
        <f>$AJ$36</f>
        <v/>
      </c>
      <c r="E64" s="33">
        <f>$AK$36</f>
        <v/>
      </c>
      <c r="F64" s="33">
        <f>$AL$36</f>
        <v/>
      </c>
      <c r="G64" s="33">
        <f>C64+D64</f>
        <v/>
      </c>
      <c r="H64" s="38">
        <f>IF((C64+D64+E64+F64)=0,0,(C64+D64)/(C64+D64+E64+F64)*100)</f>
        <v/>
      </c>
      <c r="I64" s="38">
        <f>IF((C64+D64+E64+F64)=0,0,F64/(C64+D64+E64+F64)*100)</f>
        <v/>
      </c>
    </row>
    <row r="65">
      <c r="A65" s="35" t="n">
        <v>18</v>
      </c>
      <c r="B65" s="35" t="inlineStr">
        <is>
          <t>Scrub</t>
        </is>
      </c>
      <c r="C65" s="33">
        <f>$AI$37</f>
        <v/>
      </c>
      <c r="D65" s="33">
        <f>$AJ$37</f>
        <v/>
      </c>
      <c r="E65" s="33">
        <f>$AK$37</f>
        <v/>
      </c>
      <c r="F65" s="33">
        <f>$AL$37</f>
        <v/>
      </c>
      <c r="G65" s="33">
        <f>C65+D65</f>
        <v/>
      </c>
      <c r="H65" s="38">
        <f>IF((C65+D65+E65+F65)=0,0,(C65+D65)/(C65+D65+E65+F65)*100)</f>
        <v/>
      </c>
      <c r="I65" s="38">
        <f>IF((C65+D65+E65+F65)=0,0,F65/(C65+D65+E65+F65)*100)</f>
        <v/>
      </c>
    </row>
    <row r="66">
      <c r="A66" s="35" t="n">
        <v>19</v>
      </c>
      <c r="B66" s="35" t="inlineStr">
        <is>
          <t>Scrub</t>
        </is>
      </c>
      <c r="C66" s="33">
        <f>$AI$38</f>
        <v/>
      </c>
      <c r="D66" s="33">
        <f>$AJ$38</f>
        <v/>
      </c>
      <c r="E66" s="33">
        <f>$AK$38</f>
        <v/>
      </c>
      <c r="F66" s="33">
        <f>$AL$38</f>
        <v/>
      </c>
      <c r="G66" s="33">
        <f>C66+D66</f>
        <v/>
      </c>
      <c r="H66" s="38">
        <f>IF((C66+D66+E66+F66)=0,0,(C66+D66)/(C66+D66+E66+F66)*100)</f>
        <v/>
      </c>
      <c r="I66" s="38">
        <f>IF((C66+D66+E66+F66)=0,0,F66/(C66+D66+E66+F66)*100)</f>
        <v/>
      </c>
    </row>
    <row r="67">
      <c r="A67" s="35" t="n">
        <v>20</v>
      </c>
      <c r="B67" s="35" t="inlineStr">
        <is>
          <t>Scrub</t>
        </is>
      </c>
      <c r="C67" s="33">
        <f>$AI$39</f>
        <v/>
      </c>
      <c r="D67" s="33">
        <f>$AJ$39</f>
        <v/>
      </c>
      <c r="E67" s="33">
        <f>$AK$39</f>
        <v/>
      </c>
      <c r="F67" s="33">
        <f>$AL$39</f>
        <v/>
      </c>
      <c r="G67" s="33">
        <f>C67+D67</f>
        <v/>
      </c>
      <c r="H67" s="38">
        <f>IF((C67+D67+E67+F67)=0,0,(C67+D67)/(C67+D67+E67+F67)*100)</f>
        <v/>
      </c>
      <c r="I67" s="38">
        <f>IF((C67+D67+E67+F67)=0,0,F67/(C67+D67+E67+F67)*100)</f>
        <v/>
      </c>
    </row>
    <row r="68">
      <c r="A68" s="37" t="n">
        <v>21</v>
      </c>
      <c r="B68" s="37" t="inlineStr">
        <is>
          <t>Strip</t>
        </is>
      </c>
      <c r="C68" s="33">
        <f>$AI$40</f>
        <v/>
      </c>
      <c r="D68" s="33">
        <f>$AJ$40</f>
        <v/>
      </c>
      <c r="E68" s="33">
        <f>$AK$40</f>
        <v/>
      </c>
      <c r="F68" s="33">
        <f>$AL$40</f>
        <v/>
      </c>
      <c r="G68" s="33">
        <f>C68+D68</f>
        <v/>
      </c>
      <c r="H68" s="38">
        <f>IF((C68+D68+E68+F68)=0,0,(C68+D68)/(C68+D68+E68+F68)*100)</f>
        <v/>
      </c>
      <c r="I68" s="38">
        <f>IF((C68+D68+E68+F68)=0,0,F68/(C68+D68+E68+F68)*100)</f>
        <v/>
      </c>
    </row>
    <row r="69">
      <c r="A69" s="37" t="n">
        <v>22</v>
      </c>
      <c r="B69" s="37" t="inlineStr">
        <is>
          <t>Strip</t>
        </is>
      </c>
      <c r="C69" s="33">
        <f>$AI$41</f>
        <v/>
      </c>
      <c r="D69" s="33">
        <f>$AJ$41</f>
        <v/>
      </c>
      <c r="E69" s="33">
        <f>$AK$41</f>
        <v/>
      </c>
      <c r="F69" s="33">
        <f>$AL$41</f>
        <v/>
      </c>
      <c r="G69" s="33">
        <f>C69+D69</f>
        <v/>
      </c>
      <c r="H69" s="38">
        <f>IF((C69+D69+E69+F69)=0,0,(C69+D69)/(C69+D69+E69+F69)*100)</f>
        <v/>
      </c>
      <c r="I69" s="38">
        <f>IF((C69+D69+E69+F69)=0,0,F69/(C69+D69+E69+F69)*100)</f>
        <v/>
      </c>
    </row>
    <row r="70">
      <c r="A70" s="37" t="n">
        <v>23</v>
      </c>
      <c r="B70" s="37" t="inlineStr">
        <is>
          <t>Strip</t>
        </is>
      </c>
      <c r="C70" s="33">
        <f>$AI$42</f>
        <v/>
      </c>
      <c r="D70" s="33">
        <f>$AJ$42</f>
        <v/>
      </c>
      <c r="E70" s="33">
        <f>$AK$42</f>
        <v/>
      </c>
      <c r="F70" s="33">
        <f>$AL$42</f>
        <v/>
      </c>
      <c r="G70" s="33">
        <f>C70+D70</f>
        <v/>
      </c>
      <c r="H70" s="38">
        <f>IF((C70+D70+E70+F70)=0,0,(C70+D70)/(C70+D70+E70+F70)*100)</f>
        <v/>
      </c>
      <c r="I70" s="38">
        <f>IF((C70+D70+E70+F70)=0,0,F70/(C70+D70+E70+F70)*100)</f>
        <v/>
      </c>
    </row>
    <row r="71">
      <c r="A71" s="37" t="n">
        <v>24</v>
      </c>
      <c r="B71" s="37" t="inlineStr">
        <is>
          <t>Strip</t>
        </is>
      </c>
      <c r="C71" s="33">
        <f>$AI$43</f>
        <v/>
      </c>
      <c r="D71" s="33">
        <f>$AJ$43</f>
        <v/>
      </c>
      <c r="E71" s="33">
        <f>$AK$43</f>
        <v/>
      </c>
      <c r="F71" s="33">
        <f>$AL$43</f>
        <v/>
      </c>
      <c r="G71" s="33">
        <f>C71+D71</f>
        <v/>
      </c>
      <c r="H71" s="38">
        <f>IF((C71+D71+E71+F71)=0,0,(C71+D71)/(C71+D71+E71+F71)*100)</f>
        <v/>
      </c>
      <c r="I71" s="38">
        <f>IF((C71+D71+E71+F71)=0,0,F71/(C71+D71+E71+F71)*100)</f>
        <v/>
      </c>
    </row>
    <row r="72">
      <c r="A72" s="37" t="n">
        <v>25</v>
      </c>
      <c r="B72" s="37" t="inlineStr">
        <is>
          <t>Strip</t>
        </is>
      </c>
      <c r="C72" s="33">
        <f>$AI$44</f>
        <v/>
      </c>
      <c r="D72" s="33">
        <f>$AJ$44</f>
        <v/>
      </c>
      <c r="E72" s="33">
        <f>$AK$44</f>
        <v/>
      </c>
      <c r="F72" s="33">
        <f>$AL$44</f>
        <v/>
      </c>
      <c r="G72" s="33">
        <f>C72+D72</f>
        <v/>
      </c>
      <c r="H72" s="38">
        <f>IF((C72+D72+E72+F72)=0,0,(C72+D72)/(C72+D72+E72+F72)*100)</f>
        <v/>
      </c>
      <c r="I72" s="38">
        <f>IF((C72+D72+E72+F72)=0,0,F72/(C72+D72+E72+F72)*100)</f>
        <v/>
      </c>
    </row>
    <row r="113" ht="12" customHeight="1"/>
    <row r="114" ht="26" customHeight="1">
      <c r="A114" s="39" t="inlineStr">
        <is>
          <t xml:space="preserve">  SAPONIFICATION  ·  ORGANIC LOADING  ·  REAGENT REQUIREMENTS</t>
        </is>
      </c>
      <c r="E114" s="40" t="n"/>
      <c r="J114" s="40" t="n"/>
    </row>
    <row r="115" ht="17" customHeight="1">
      <c r="A115" s="41" t="inlineStr">
        <is>
          <t xml:space="preserve">  Organic System — Inputs</t>
        </is>
      </c>
      <c r="E115" s="40" t="n"/>
      <c r="F115" s="41" t="inlineStr">
        <is>
          <t xml:space="preserve">  Saponification Calculation</t>
        </is>
      </c>
      <c r="J115" s="40" t="n"/>
      <c r="K115" s="41" t="inlineStr">
        <is>
          <t xml:space="preserve">  Maximum Organic Loading</t>
        </is>
      </c>
    </row>
    <row r="116" ht="15" customHeight="1">
      <c r="A116" s="42" t="inlineStr">
        <is>
          <t>Parameter</t>
        </is>
      </c>
      <c r="B116" s="42" t="inlineStr">
        <is>
          <t>Value</t>
        </is>
      </c>
      <c r="C116" s="42" t="inlineStr">
        <is>
          <t>Units</t>
        </is>
      </c>
      <c r="D116" s="42" t="inlineStr"/>
      <c r="E116" s="43" t="n"/>
      <c r="F116" s="42" t="inlineStr">
        <is>
          <t>Parameter</t>
        </is>
      </c>
      <c r="G116" s="42" t="inlineStr">
        <is>
          <t>Value</t>
        </is>
      </c>
      <c r="H116" s="42" t="inlineStr">
        <is>
          <t>Units</t>
        </is>
      </c>
      <c r="I116" s="42" t="inlineStr"/>
      <c r="J116" s="43" t="n"/>
      <c r="K116" s="42" t="inlineStr">
        <is>
          <t>Parameter</t>
        </is>
      </c>
      <c r="L116" s="42" t="inlineStr">
        <is>
          <t>Value</t>
        </is>
      </c>
      <c r="M116" s="42" t="inlineStr">
        <is>
          <t>Units</t>
        </is>
      </c>
      <c r="N116" s="42" t="inlineStr"/>
    </row>
    <row r="117" ht="15" customHeight="1">
      <c r="A117" s="44" t="inlineStr">
        <is>
          <t>Extractant</t>
        </is>
      </c>
      <c r="B117" s="11" t="inlineStr">
        <is>
          <t>Cyanex 801</t>
        </is>
      </c>
      <c r="C117" s="45" t="inlineStr">
        <is>
          <t>—</t>
        </is>
      </c>
      <c r="D117" s="46" t="n"/>
      <c r="E117" s="40" t="n"/>
      <c r="F117" s="47" t="inlineStr">
        <is>
          <t xml:space="preserve">  Loaded Organic at Extraction Exit</t>
        </is>
      </c>
      <c r="J117" s="40" t="n"/>
      <c r="K117" s="47" t="inlineStr">
        <is>
          <t xml:space="preserve">  Extractant Capacity</t>
        </is>
      </c>
    </row>
    <row r="118" ht="16" customHeight="1">
      <c r="A118" s="44" t="inlineStr">
        <is>
          <t>Extractant  MW</t>
        </is>
      </c>
      <c r="B118" s="48">
        <f>IF(B117="D2EHPA",322.4,IF(B117="Cyanex 801",290.4,322.4))</f>
        <v/>
      </c>
      <c r="C118" s="45" t="inlineStr">
        <is>
          <t>g/mol</t>
        </is>
      </c>
      <c r="D118" s="46" t="n"/>
      <c r="E118" s="40" t="n"/>
      <c r="F118" s="44" t="inlineStr">
        <is>
          <t>y_Pr  (org. conc., ext exit)</t>
        </is>
      </c>
      <c r="G118" s="33">
        <f>INDEX($J:$J,19+$B$6)</f>
        <v/>
      </c>
      <c r="H118" s="45" t="inlineStr">
        <is>
          <t>g/L org</t>
        </is>
      </c>
      <c r="I118" s="46" t="n"/>
      <c r="J118" s="40" t="n"/>
      <c r="K118" s="44" t="inlineStr">
        <is>
          <t>Available capacity  [extractant / 3]</t>
        </is>
      </c>
      <c r="L118" s="49">
        <f>B124/3</f>
        <v/>
      </c>
      <c r="M118" s="45" t="inlineStr">
        <is>
          <t>mol REE / L org</t>
        </is>
      </c>
      <c r="N118" s="46" t="n"/>
    </row>
    <row r="119" ht="15" customHeight="1">
      <c r="A119" s="44" t="inlineStr">
        <is>
          <t>Diluent</t>
        </is>
      </c>
      <c r="B119" s="11" t="inlineStr">
        <is>
          <t>Orfom</t>
        </is>
      </c>
      <c r="C119" s="45" t="inlineStr">
        <is>
          <t>—</t>
        </is>
      </c>
      <c r="D119" s="46" t="n"/>
      <c r="E119" s="40" t="n"/>
      <c r="F119" s="44" t="inlineStr">
        <is>
          <t>y_Nd  (org. conc., ext exit)</t>
        </is>
      </c>
      <c r="G119" s="33">
        <f>INDEX($R:$R,19+$B$6)</f>
        <v/>
      </c>
      <c r="H119" s="45" t="inlineStr">
        <is>
          <t>g/L org</t>
        </is>
      </c>
      <c r="I119" s="46" t="n"/>
      <c r="J119" s="40" t="n"/>
      <c r="K119" s="47" t="inlineStr">
        <is>
          <t xml:space="preserve">  Max Loading per Element  (if pure feed)</t>
        </is>
      </c>
    </row>
    <row r="120" ht="16" customHeight="1">
      <c r="A120" s="44" t="inlineStr">
        <is>
          <t>Diluent density</t>
        </is>
      </c>
      <c r="B120" s="49">
        <f>IF(B119="Orfom",0.785,IF(B119="Kerosene",0.8,0.785))</f>
        <v/>
      </c>
      <c r="C120" s="45" t="inlineStr">
        <is>
          <t>g/mL</t>
        </is>
      </c>
      <c r="D120" s="46" t="n"/>
      <c r="E120" s="40" t="n"/>
      <c r="F120" s="44" t="inlineStr">
        <is>
          <t>y_Tb  (org. conc., ext exit)</t>
        </is>
      </c>
      <c r="G120" s="33">
        <f>INDEX($Z:$Z,19+$B$6)</f>
        <v/>
      </c>
      <c r="H120" s="45" t="inlineStr">
        <is>
          <t>g/L org</t>
        </is>
      </c>
      <c r="I120" s="46" t="n"/>
      <c r="J120" s="40" t="n"/>
      <c r="K120" s="44" t="inlineStr">
        <is>
          <t>Max loading — Pr  (pure Pr feed)</t>
        </is>
      </c>
      <c r="L120" s="48">
        <f>L118*140.91</f>
        <v/>
      </c>
      <c r="M120" s="45" t="inlineStr">
        <is>
          <t>g/L org</t>
        </is>
      </c>
      <c r="N120" s="46" t="n"/>
    </row>
    <row r="121" ht="16" customHeight="1">
      <c r="A121" s="44" t="inlineStr">
        <is>
          <t>Organic density</t>
        </is>
      </c>
      <c r="B121" s="49">
        <f>B122/100*IF(B117="D2EHPA",0.975,0.87)+(1-B122/100)*B120</f>
        <v/>
      </c>
      <c r="C121" s="45" t="inlineStr">
        <is>
          <t>g/mL</t>
        </is>
      </c>
      <c r="D121" s="46" t="n"/>
      <c r="E121" s="40" t="n"/>
      <c r="F121" s="44" t="inlineStr">
        <is>
          <t>y_Dy  (org. conc., ext exit)</t>
        </is>
      </c>
      <c r="G121" s="33">
        <f>INDEX($AH:$AH,19+$B$6)</f>
        <v/>
      </c>
      <c r="H121" s="45" t="inlineStr">
        <is>
          <t>g/L org</t>
        </is>
      </c>
      <c r="I121" s="46" t="n"/>
      <c r="J121" s="40" t="n"/>
      <c r="K121" s="44" t="inlineStr">
        <is>
          <t>Max loading — Nd  (pure Nd feed)</t>
        </is>
      </c>
      <c r="L121" s="48">
        <f>L118*144.24</f>
        <v/>
      </c>
      <c r="M121" s="45" t="inlineStr">
        <is>
          <t>g/L org</t>
        </is>
      </c>
      <c r="N121" s="46" t="n"/>
    </row>
    <row r="122" ht="16" customHeight="1">
      <c r="A122" s="44" t="inlineStr">
        <is>
          <t>% Extractant</t>
        </is>
      </c>
      <c r="B122" s="50" t="n">
        <v>10</v>
      </c>
      <c r="C122" s="45" t="inlineStr">
        <is>
          <t>vol %</t>
        </is>
      </c>
      <c r="D122" s="46" t="n"/>
      <c r="E122" s="40" t="n"/>
      <c r="F122" s="51" t="inlineStr">
        <is>
          <t>Total loaded organic</t>
        </is>
      </c>
      <c r="G122" s="52">
        <f>G118+G119+G120+G121</f>
        <v/>
      </c>
      <c r="H122" s="45" t="inlineStr">
        <is>
          <t>g/L org</t>
        </is>
      </c>
      <c r="I122" s="46" t="n"/>
      <c r="J122" s="40" t="n"/>
      <c r="K122" s="44" t="inlineStr">
        <is>
          <t>Max loading — Tb  (pure Tb feed)</t>
        </is>
      </c>
      <c r="L122" s="48">
        <f>L118*158.93</f>
        <v/>
      </c>
      <c r="M122" s="45" t="inlineStr">
        <is>
          <t>g/L org</t>
        </is>
      </c>
      <c r="N122" s="46" t="n"/>
    </row>
    <row r="123" ht="15" customHeight="1">
      <c r="A123" s="44" t="inlineStr">
        <is>
          <t>[Extractant]</t>
        </is>
      </c>
      <c r="B123" s="48">
        <f>B122/100*B121*1000</f>
        <v/>
      </c>
      <c r="C123" s="45" t="inlineStr">
        <is>
          <t>g/L org</t>
        </is>
      </c>
      <c r="D123" s="46" t="n"/>
      <c r="E123" s="40" t="n"/>
      <c r="F123" s="47" t="inlineStr">
        <is>
          <t xml:space="preserve">  Theoretical NaOH  (Alind Eq. 10 — 3 mol NaOH per mol REE³⁺)</t>
        </is>
      </c>
      <c r="J123" s="40" t="n"/>
      <c r="K123" s="44" t="inlineStr">
        <is>
          <t>Max loading — Dy  (pure Dy feed)</t>
        </is>
      </c>
      <c r="L123" s="48">
        <f>L118*162.5</f>
        <v/>
      </c>
      <c r="M123" s="45" t="inlineStr">
        <is>
          <t>g/L org</t>
        </is>
      </c>
      <c r="N123" s="46" t="n"/>
    </row>
    <row r="124" ht="15" customHeight="1">
      <c r="A124" s="44" t="inlineStr">
        <is>
          <t>[Extractant]</t>
        </is>
      </c>
      <c r="B124" s="49">
        <f>IF(B118=0,0,B123/B118)</f>
        <v/>
      </c>
      <c r="C124" s="45" t="inlineStr">
        <is>
          <t>mol/L org</t>
        </is>
      </c>
      <c r="D124" s="46" t="n"/>
      <c r="E124" s="40" t="n"/>
      <c r="F124" s="44" t="inlineStr">
        <is>
          <t>NaOH required</t>
        </is>
      </c>
      <c r="G124" s="49">
        <f>3*$B$14*(G118/140.91+G119/144.24+G120/158.93+G121/162.5)</f>
        <v/>
      </c>
      <c r="H124" s="45" t="inlineStr">
        <is>
          <t>mol / [O·time]</t>
        </is>
      </c>
      <c r="I124" s="46" t="n"/>
      <c r="J124" s="40" t="n"/>
      <c r="K124" s="47" t="inlineStr">
        <is>
          <t xml:space="preserve">  Max Loading — Current Feed Composition</t>
        </is>
      </c>
    </row>
    <row r="125" ht="16" customHeight="1">
      <c r="A125" s="44" t="inlineStr">
        <is>
          <t>NaOH concentration</t>
        </is>
      </c>
      <c r="B125" s="50" t="n">
        <v>20</v>
      </c>
      <c r="C125" s="45" t="inlineStr">
        <is>
          <t>wt %</t>
        </is>
      </c>
      <c r="D125" s="46" t="n"/>
      <c r="E125" s="40" t="n"/>
      <c r="F125" s="44" t="inlineStr">
        <is>
          <t>NaOH solution flowrate</t>
        </is>
      </c>
      <c r="G125" s="49">
        <f>IF(B127=0,0,G124/B127)</f>
        <v/>
      </c>
      <c r="H125" s="45" t="inlineStr">
        <is>
          <t>L soln / [O·time]</t>
        </is>
      </c>
      <c r="I125" s="46" t="n"/>
      <c r="J125" s="40" t="n"/>
      <c r="K125" s="44" t="inlineStr">
        <is>
          <t>Avg REE MW  (feed-weighted)</t>
        </is>
      </c>
      <c r="L125" s="53">
        <f>IF(($M$6+$M$7+$M$8+$M$9)=0,144.24,($M$6*140.91+$M$7*144.24+$M$8*158.93+$M$9*162.5)/($M$6+$M$7+$M$8+$M$9))</f>
        <v/>
      </c>
      <c r="M125" s="45" t="inlineStr">
        <is>
          <t>g/mol</t>
        </is>
      </c>
      <c r="N125" s="46" t="n"/>
    </row>
    <row r="126" ht="16" customHeight="1">
      <c r="A126" s="44" t="inlineStr">
        <is>
          <t>NaOH soln density</t>
        </is>
      </c>
      <c r="B126" s="49">
        <f>1+0.011*B125</f>
        <v/>
      </c>
      <c r="C126" s="45" t="inlineStr">
        <is>
          <t>g/mL</t>
        </is>
      </c>
      <c r="D126" s="46" t="n"/>
      <c r="E126" s="40" t="n"/>
      <c r="F126" s="44" t="inlineStr">
        <is>
          <t>Pure NaOH mass rate</t>
        </is>
      </c>
      <c r="G126" s="49">
        <f>G124*40.0/1000</f>
        <v/>
      </c>
      <c r="H126" s="45" t="inlineStr">
        <is>
          <t>kg NaOH / [O·time]</t>
        </is>
      </c>
      <c r="I126" s="46" t="n"/>
      <c r="J126" s="40" t="n"/>
      <c r="K126" s="51" t="inlineStr">
        <is>
          <t>Max loading — mixed REE</t>
        </is>
      </c>
      <c r="L126" s="54">
        <f>L118*L125</f>
        <v/>
      </c>
      <c r="M126" s="45" t="inlineStr">
        <is>
          <t>g/L org</t>
        </is>
      </c>
      <c r="N126" s="46" t="n"/>
    </row>
    <row r="127" ht="16" customHeight="1">
      <c r="A127" s="44" t="inlineStr">
        <is>
          <t>[NaOH] solution</t>
        </is>
      </c>
      <c r="B127" s="49">
        <f>B125/100*B126*1000/40.0</f>
        <v/>
      </c>
      <c r="C127" s="45" t="inlineStr">
        <is>
          <t>mol/L</t>
        </is>
      </c>
      <c r="D127" s="46" t="n"/>
      <c r="E127" s="40" t="n"/>
      <c r="F127" s="47" t="inlineStr">
        <is>
          <t xml:space="preserve">  Experimental Saponification Degree</t>
        </is>
      </c>
      <c r="J127" s="40" t="n"/>
      <c r="K127" s="44" t="inlineStr">
        <is>
          <t>Current loaded organic  (from SOLVER)</t>
        </is>
      </c>
      <c r="L127" s="55">
        <f>INDEX($AM:$AM,19+$B$6)</f>
        <v/>
      </c>
      <c r="M127" s="45" t="inlineStr">
        <is>
          <t>g/L org</t>
        </is>
      </c>
      <c r="N127" s="46" t="n"/>
    </row>
    <row r="128" ht="16" customHeight="1">
      <c r="A128" s="44" t="inlineStr">
        <is>
          <t>NaOH flowrate</t>
        </is>
      </c>
      <c r="B128" s="13" t="n">
        <v>0</v>
      </c>
      <c r="C128" s="45" t="inlineStr">
        <is>
          <t>same unit as O</t>
        </is>
      </c>
      <c r="D128" s="46" t="n"/>
      <c r="E128" s="40" t="n"/>
      <c r="F128" s="44" t="inlineStr">
        <is>
          <t>mol NaOH supplied  [per time unit]</t>
        </is>
      </c>
      <c r="G128" s="49">
        <f>B128*B127</f>
        <v/>
      </c>
      <c r="H128" s="45" t="inlineStr">
        <is>
          <t>mol / time</t>
        </is>
      </c>
      <c r="I128" s="46" t="n"/>
      <c r="J128" s="40" t="n"/>
      <c r="K128" s="51" t="inlineStr">
        <is>
          <t>Loading utilization</t>
        </is>
      </c>
      <c r="L128" s="54">
        <f>IF(L126=0,0,L127/L126*100)</f>
        <v/>
      </c>
      <c r="M128" s="45" t="inlineStr">
        <is>
          <t>%  of max capacity used</t>
        </is>
      </c>
      <c r="N128" s="46" t="n"/>
    </row>
    <row r="129" ht="16" customHeight="1">
      <c r="E129" s="40" t="n"/>
      <c r="F129" s="44" t="inlineStr">
        <is>
          <t>mol D2EHPA/extr. in organic  [per time unit]</t>
        </is>
      </c>
      <c r="G129" s="49">
        <f>B124*$B$14</f>
        <v/>
      </c>
      <c r="H129" s="45" t="inlineStr">
        <is>
          <t>mol / time</t>
        </is>
      </c>
      <c r="I129" s="46" t="n"/>
      <c r="J129" s="40" t="n"/>
    </row>
    <row r="130" ht="16" customHeight="1">
      <c r="E130" s="40" t="n"/>
      <c r="F130" s="51" t="inlineStr">
        <is>
          <t>SAPONIFICATION DEGREE</t>
        </is>
      </c>
      <c r="G130" s="54">
        <f>IF(G129=0,0,G128/G129*100)</f>
        <v/>
      </c>
      <c r="H130" s="45" t="inlineStr">
        <is>
          <t>% saponified</t>
        </is>
      </c>
      <c r="I130" s="46" t="n"/>
      <c r="J130" s="40" t="n"/>
    </row>
    <row r="131" ht="16" customHeight="1">
      <c r="E131" s="40" t="n"/>
      <c r="J131" s="40" t="n"/>
    </row>
    <row r="132" ht="16" customHeight="1">
      <c r="E132" s="40" t="n"/>
      <c r="J132" s="40" t="n"/>
    </row>
    <row r="134" ht="12" customHeight="1"/>
    <row r="135" ht="22" customHeight="1">
      <c r="A135" s="56" t="inlineStr">
        <is>
          <t xml:space="preserve">  RESIDENCE TIME  ·  Settler Dimensions</t>
        </is>
      </c>
    </row>
    <row r="136" ht="15" customHeight="1">
      <c r="A136" s="47" t="inlineStr">
        <is>
          <t>Mixer / Settler Inputs</t>
        </is>
      </c>
    </row>
    <row r="137">
      <c r="A137" s="44" t="inlineStr">
        <is>
          <t>Mixer active volume</t>
        </is>
      </c>
      <c r="B137" s="13" t="n">
        <v>0.1</v>
      </c>
      <c r="C137" s="45" t="inlineStr">
        <is>
          <t>m³  per stage</t>
        </is>
      </c>
      <c r="D137" s="46" t="n"/>
    </row>
    <row r="138">
      <c r="A138" s="44" t="inlineStr">
        <is>
          <t>Settler length</t>
        </is>
      </c>
      <c r="B138" s="10" t="n">
        <v>2</v>
      </c>
      <c r="C138" s="45" t="inlineStr">
        <is>
          <t>m</t>
        </is>
      </c>
      <c r="D138" s="46" t="n"/>
    </row>
    <row r="139">
      <c r="A139" s="44" t="inlineStr">
        <is>
          <t>Settler width</t>
        </is>
      </c>
      <c r="B139" s="10" t="n">
        <v>1</v>
      </c>
      <c r="C139" s="45" t="inlineStr">
        <is>
          <t>m</t>
        </is>
      </c>
      <c r="D139" s="46" t="n"/>
    </row>
    <row r="140">
      <c r="A140" s="44" t="inlineStr">
        <is>
          <t>Settler depth (active)</t>
        </is>
      </c>
      <c r="B140" s="13" t="n">
        <v>0.3</v>
      </c>
      <c r="C140" s="45" t="inlineStr">
        <is>
          <t>m</t>
        </is>
      </c>
      <c r="D140" s="46" t="n"/>
    </row>
    <row r="141">
      <c r="A141" s="44" t="inlineStr">
        <is>
          <t>No. settlers per stage</t>
        </is>
      </c>
      <c r="B141" s="57" t="n">
        <v>1</v>
      </c>
      <c r="C141" s="45" t="inlineStr">
        <is>
          <t>—</t>
        </is>
      </c>
      <c r="D141" s="46" t="n"/>
    </row>
    <row r="143" ht="15" customHeight="1">
      <c r="A143" s="47" t="inlineStr">
        <is>
          <t>Residence Time per Section</t>
        </is>
      </c>
    </row>
    <row r="144">
      <c r="A144" s="42" t="inlineStr">
        <is>
          <t>Section</t>
        </is>
      </c>
      <c r="B144" s="42" t="inlineStr">
        <is>
          <t>n stages</t>
        </is>
      </c>
      <c r="C144" s="42" t="inlineStr">
        <is>
          <t>Q_aq</t>
        </is>
      </c>
      <c r="D144" s="42" t="inlineStr">
        <is>
          <t>Q_tot</t>
        </is>
      </c>
      <c r="E144" s="42" t="inlineStr">
        <is>
          <t>τ_mixer (min)</t>
        </is>
      </c>
      <c r="F144" s="42" t="inlineStr">
        <is>
          <t>V_settler (m³)</t>
        </is>
      </c>
      <c r="G144" s="42" t="inlineStr">
        <is>
          <t>τ_settler (min)</t>
        </is>
      </c>
      <c r="H144" s="42" t="inlineStr">
        <is>
          <t>τ_stage (min)</t>
        </is>
      </c>
      <c r="I144" s="42" t="inlineStr">
        <is>
          <t>τ_section (min)</t>
        </is>
      </c>
    </row>
    <row r="145">
      <c r="A145" s="44" t="inlineStr">
        <is>
          <t>Extraction</t>
        </is>
      </c>
      <c r="B145" s="58">
        <f>$B$6</f>
        <v/>
      </c>
      <c r="C145" s="53">
        <f>$B$13*$B$15+$B$12</f>
        <v/>
      </c>
      <c r="D145" s="53">
        <f>$B$14+C145</f>
        <v/>
      </c>
      <c r="E145" s="53">
        <f>IF(D145=0,0,$B$137*1000/D145)</f>
        <v/>
      </c>
      <c r="F145" s="49">
        <f>$B$138*$B$139*$B$140*$B$141</f>
        <v/>
      </c>
      <c r="G145" s="53">
        <f>IF(D145=0,0,F145*1000/D145)</f>
        <v/>
      </c>
      <c r="H145" s="53">
        <f>E145+G145</f>
        <v/>
      </c>
      <c r="I145" s="15">
        <f>B145*H145</f>
        <v/>
      </c>
    </row>
    <row r="146">
      <c r="A146" s="44" t="inlineStr">
        <is>
          <t>Scrub</t>
        </is>
      </c>
      <c r="B146" s="58">
        <f>$B$7</f>
        <v/>
      </c>
      <c r="C146" s="53">
        <f>$B$13*$B$15</f>
        <v/>
      </c>
      <c r="D146" s="53">
        <f>$B$14+C146</f>
        <v/>
      </c>
      <c r="E146" s="53">
        <f>IF(D146=0,0,$B$137*1000/D146)</f>
        <v/>
      </c>
      <c r="F146" s="49">
        <f>$B$138*$B$139*$B$140*$B$141</f>
        <v/>
      </c>
      <c r="G146" s="53">
        <f>IF(D146=0,0,F146*1000/D146)</f>
        <v/>
      </c>
      <c r="H146" s="53">
        <f>E146+G146</f>
        <v/>
      </c>
      <c r="I146" s="15">
        <f>B146*H146</f>
        <v/>
      </c>
    </row>
    <row r="147">
      <c r="A147" s="44" t="inlineStr">
        <is>
          <t>Strip</t>
        </is>
      </c>
      <c r="B147" s="58">
        <f>$B$8</f>
        <v/>
      </c>
      <c r="C147" s="53">
        <f>$B$13</f>
        <v/>
      </c>
      <c r="D147" s="53">
        <f>$B$14+C147</f>
        <v/>
      </c>
      <c r="E147" s="53">
        <f>IF(D147=0,0,$B$137*1000/D147)</f>
        <v/>
      </c>
      <c r="F147" s="49">
        <f>$B$138*$B$139*$B$140*$B$141</f>
        <v/>
      </c>
      <c r="G147" s="53">
        <f>IF(D147=0,0,F147*1000/D147)</f>
        <v/>
      </c>
      <c r="H147" s="53">
        <f>E147+G147</f>
        <v/>
      </c>
      <c r="I147" s="15">
        <f>B147*H147</f>
        <v/>
      </c>
    </row>
    <row r="149" ht="12" customHeight="1"/>
    <row r="150" ht="22" customHeight="1">
      <c r="A150" s="7" t="inlineStr">
        <is>
          <t xml:space="preserve">  STEADY-STATE TIME ESTIMATOR  ·  Ritcey &amp; Ashbrook (1979) §6  ·  Perry's 8th Ed. §15-42  ·  3τ heuristic</t>
        </is>
      </c>
    </row>
    <row r="151" ht="15" customHeight="1">
      <c r="A151" s="47" t="inlineStr">
        <is>
          <t>Inputs</t>
        </is>
      </c>
    </row>
    <row r="152">
      <c r="A152" s="44" t="inlineStr">
        <is>
          <t>Safety / turnover factor  (default = 3, i.e., 3τ ≈ 95% SS)</t>
        </is>
      </c>
      <c r="B152" s="57" t="n">
        <v>3</v>
      </c>
      <c r="C152" s="45" t="inlineStr">
        <is>
          <t>—</t>
        </is>
      </c>
    </row>
    <row r="154" ht="15" customHeight="1">
      <c r="A154" s="47" t="inlineStr">
        <is>
          <t>Section Residence Times  (from Residence Time section above)</t>
        </is>
      </c>
    </row>
    <row r="155">
      <c r="A155" s="42" t="inlineStr">
        <is>
          <t>Section</t>
        </is>
      </c>
      <c r="B155" s="42" t="inlineStr">
        <is>
          <t>τ_section (min)</t>
        </is>
      </c>
      <c r="C155" s="42" t="inlineStr">
        <is>
          <t>τ_section (h)</t>
        </is>
      </c>
    </row>
    <row r="156">
      <c r="A156" s="44" t="inlineStr">
        <is>
          <t>Extraction</t>
        </is>
      </c>
      <c r="B156" s="59">
        <f>I145</f>
        <v/>
      </c>
      <c r="C156" s="49">
        <f>B156/60</f>
        <v/>
      </c>
    </row>
    <row r="157">
      <c r="A157" s="44" t="inlineStr">
        <is>
          <t>Scrub</t>
        </is>
      </c>
      <c r="B157" s="59">
        <f>I146</f>
        <v/>
      </c>
      <c r="C157" s="49">
        <f>B157/60</f>
        <v/>
      </c>
    </row>
    <row r="158">
      <c r="A158" s="44" t="inlineStr">
        <is>
          <t>Strip</t>
        </is>
      </c>
      <c r="B158" s="59">
        <f>I147</f>
        <v/>
      </c>
      <c r="C158" s="49">
        <f>B158/60</f>
        <v/>
      </c>
    </row>
    <row r="160">
      <c r="A160" s="44" t="inlineStr">
        <is>
          <t>τ_max  (bottleneck section)</t>
        </is>
      </c>
      <c r="B160" s="15">
        <f>MAX(B156,B157,B158)</f>
        <v/>
      </c>
      <c r="C160" s="45" t="inlineStr">
        <is>
          <t>min</t>
        </is>
      </c>
    </row>
    <row r="161">
      <c r="A161" s="44" t="inlineStr">
        <is>
          <t>Bottleneck section</t>
        </is>
      </c>
      <c r="B161" s="60">
        <f>IF(B160=B156,"Extraction",IF(B160=B157,"Scrub","Strip"))</f>
        <v/>
      </c>
    </row>
    <row r="162">
      <c r="A162" s="51" t="inlineStr">
        <is>
          <t>t_SS  =  factor × τ_max</t>
        </is>
      </c>
      <c r="B162" s="15">
        <f>$B$152*B160</f>
        <v/>
      </c>
      <c r="C162" s="45" t="inlineStr">
        <is>
          <t>min</t>
        </is>
      </c>
      <c r="D162" s="53">
        <f>B162/60</f>
        <v/>
      </c>
      <c r="E162" s="45" t="inlineStr">
        <is>
          <t>h</t>
        </is>
      </c>
    </row>
    <row r="167" ht="12" customHeight="1"/>
    <row r="168" ht="22" customHeight="1">
      <c r="A168" s="56" t="inlineStr">
        <is>
          <t xml:space="preserve">  FEED VARIABILITY SCENARIO  ·  Dy ± scaling  ·  Linear TDMA property</t>
        </is>
      </c>
    </row>
    <row r="169" ht="15" customHeight="1">
      <c r="A169" s="47" t="inlineStr">
        <is>
          <t>Scenario Multipliers  (applied to Dy feed concentration only)</t>
        </is>
      </c>
    </row>
    <row r="170">
      <c r="A170" s="44" t="inlineStr">
        <is>
          <t>k1  (high Dy scenario, e.g. Dy + 20%)</t>
        </is>
      </c>
      <c r="B170" s="10" t="n">
        <v>1.2</v>
      </c>
      <c r="C170" s="45" t="inlineStr">
        <is>
          <t>×  XF_Dy</t>
        </is>
      </c>
    </row>
    <row r="171">
      <c r="A171" s="44" t="inlineStr">
        <is>
          <t>k2  (low  Dy scenario, e.g. Dy − 20%)</t>
        </is>
      </c>
      <c r="B171" s="10" t="n">
        <v>0.8</v>
      </c>
      <c r="C171" s="45" t="inlineStr">
        <is>
          <t>×  XF_Dy</t>
        </is>
      </c>
    </row>
    <row r="173">
      <c r="A173" s="8" t="inlineStr">
        <is>
          <t>Metric</t>
        </is>
      </c>
      <c r="B173" s="8" t="inlineStr">
        <is>
          <t>Normal</t>
        </is>
      </c>
      <c r="C173" s="61" t="n"/>
      <c r="D173" s="61" t="n"/>
      <c r="E173" s="8" t="inlineStr">
        <is>
          <t>Dy + k1</t>
        </is>
      </c>
      <c r="F173" s="61" t="n"/>
      <c r="G173" s="61" t="n"/>
      <c r="H173" s="8" t="inlineStr">
        <is>
          <t>Dy + k2</t>
        </is>
      </c>
      <c r="I173" s="61" t="n"/>
    </row>
    <row r="174">
      <c r="A174" s="44" t="inlineStr">
        <is>
          <t>Loaded Organic (g/L)</t>
        </is>
      </c>
      <c r="B174" s="15">
        <f>INDEX($AM:$AM,19+$B$6)</f>
        <v/>
      </c>
      <c r="C174" s="61" t="n"/>
      <c r="D174" s="61" t="n"/>
      <c r="E174" s="15">
        <f>INDEX($AM:$AM,19+$B$6)</f>
        <v/>
      </c>
      <c r="F174" s="61" t="n"/>
      <c r="G174" s="61" t="n"/>
      <c r="H174" s="15">
        <f>INDEX($AM:$AM,19+$B$6)</f>
        <v/>
      </c>
      <c r="I174" s="61" t="n"/>
    </row>
    <row r="175">
      <c r="A175" s="44" t="inlineStr">
        <is>
          <t>Raffinate  —  Nd (g/L)</t>
        </is>
      </c>
      <c r="B175" s="15">
        <f>$AJ$20</f>
        <v/>
      </c>
      <c r="C175" s="61" t="n"/>
      <c r="D175" s="61" t="n"/>
      <c r="E175" s="15">
        <f>$AJ$20</f>
        <v/>
      </c>
      <c r="F175" s="61" t="n"/>
      <c r="G175" s="61" t="n"/>
      <c r="H175" s="15">
        <f>$AJ$20</f>
        <v/>
      </c>
      <c r="I175" s="61" t="n"/>
    </row>
    <row r="176">
      <c r="A176" s="44" t="inlineStr">
        <is>
          <t>Raffinate  —  Dy (g/L)</t>
        </is>
      </c>
      <c r="B176" s="15">
        <f>$AL$20</f>
        <v/>
      </c>
      <c r="C176" s="61" t="n"/>
      <c r="D176" s="61" t="n"/>
      <c r="E176" s="15">
        <f>$AL$20*$B$170</f>
        <v/>
      </c>
      <c r="F176" s="61" t="n"/>
      <c r="G176" s="61" t="n"/>
      <c r="H176" s="15">
        <f>$AL$20*$B$171</f>
        <v/>
      </c>
      <c r="I176" s="61" t="n"/>
    </row>
    <row r="177">
      <c r="A177" s="44" t="inlineStr">
        <is>
          <t>Preg  —  Nd (g/L)</t>
        </is>
      </c>
      <c r="B177" s="15">
        <f>INDEX($AJ:$AJ,20+$B$6+$B$7)</f>
        <v/>
      </c>
      <c r="C177" s="61" t="n"/>
      <c r="D177" s="61" t="n"/>
      <c r="E177" s="15">
        <f>INDEX($AJ:$AJ,20+$B$6+$B$7)</f>
        <v/>
      </c>
      <c r="F177" s="61" t="n"/>
      <c r="G177" s="61" t="n"/>
      <c r="H177" s="15">
        <f>INDEX($AJ:$AJ,20+$B$6+$B$7)</f>
        <v/>
      </c>
      <c r="I177" s="61" t="n"/>
    </row>
    <row r="178">
      <c r="A178" s="44" t="inlineStr">
        <is>
          <t>Preg  —  Dy (g/L)</t>
        </is>
      </c>
      <c r="B178" s="15">
        <f>INDEX($AL:$AL,20+$B$6+$B$7)</f>
        <v/>
      </c>
      <c r="C178" s="61" t="n"/>
      <c r="D178" s="61" t="n"/>
      <c r="E178" s="15">
        <f>INDEX($AL:$AL,20+$B$6+$B$7)*$B$170</f>
        <v/>
      </c>
      <c r="F178" s="61" t="n"/>
      <c r="G178" s="61" t="n"/>
      <c r="H178" s="15">
        <f>INDEX($AL:$AL,20+$B$6+$B$7)*$B$171</f>
        <v/>
      </c>
      <c r="I178" s="61" t="n"/>
    </row>
    <row r="179">
      <c r="A179" s="44" t="inlineStr">
        <is>
          <t>Preg purity  —  Dy  (%)</t>
        </is>
      </c>
      <c r="B179" s="15">
        <f>IF((INDEX($AI:$AI,20+$B$6+$B$7)+INDEX($AJ:$AJ,20+$B$6+$B$7)+INDEX($AK:$AK,20+$B$6+$B$7)+INDEX($AL:$AL,20+$B$6+$B$7))=0,0,INDEX($AL:$AL,20+$B$6+$B$7)/(INDEX($AI:$AI,20+$B$6+$B$7)+INDEX($AJ:$AJ,20+$B$6+$B$7)+INDEX($AK:$AK,20+$B$6+$B$7)+INDEX($AL:$AL,20+$B$6+$B$7))*100)</f>
        <v/>
      </c>
      <c r="C179" s="61" t="n"/>
      <c r="D179" s="61" t="n"/>
      <c r="E179" s="15">
        <f>IF((INDEX($AI:$AI,20+$B$6+$B$7)+INDEX($AJ:$AJ,20+$B$6+$B$7)+INDEX($AK:$AK,20+$B$6+$B$7)+INDEX($AL:$AL,20+$B$6+$B$7)-INDEX($AL:$AL,20+$B$6+$B$7)+INDEX($AL:$AL,20+$B$6+$B$7)*$B$170)=0,0,INDEX($AL:$AL,20+$B$6+$B$7)*$B$170/(INDEX($AI:$AI,20+$B$6+$B$7)+INDEX($AJ:$AJ,20+$B$6+$B$7)+INDEX($AK:$AK,20+$B$6+$B$7)+INDEX($AL:$AL,20+$B$6+$B$7)-INDEX($AL:$AL,20+$B$6+$B$7)+INDEX($AL:$AL,20+$B$6+$B$7)*$B$170)*100)</f>
        <v/>
      </c>
      <c r="F179" s="61" t="n"/>
      <c r="G179" s="61" t="n"/>
      <c r="H179" s="15">
        <f>IF((INDEX($AI:$AI,20+$B$6+$B$7)+INDEX($AJ:$AJ,20+$B$6+$B$7)+INDEX($AK:$AK,20+$B$6+$B$7)+INDEX($AL:$AL,20+$B$6+$B$7)-INDEX($AL:$AL,20+$B$6+$B$7)+INDEX($AL:$AL,20+$B$6+$B$7)*$B$171)=0,0,INDEX($AL:$AL,20+$B$6+$B$7)*$B$171/(INDEX($AI:$AI,20+$B$6+$B$7)+INDEX($AJ:$AJ,20+$B$6+$B$7)+INDEX($AK:$AK,20+$B$6+$B$7)+INDEX($AL:$AL,20+$B$6+$B$7)-INDEX($AL:$AL,20+$B$6+$B$7)+INDEX($AL:$AL,20+$B$6+$B$7)*$B$171)*100)</f>
        <v/>
      </c>
      <c r="I179" s="61" t="n"/>
    </row>
    <row r="180">
      <c r="A180" s="44" t="inlineStr">
        <is>
          <t>Raff purity  —  Nd  (%)</t>
        </is>
      </c>
      <c r="B180" s="15">
        <f>IF(($AI$20+$AJ$20+$AK$20+$AL$20)=0,0,$AJ$20/($AI$20+$AJ$20+$AK$20+$AL$20)*100)</f>
        <v/>
      </c>
      <c r="C180" s="61" t="n"/>
      <c r="D180" s="61" t="n"/>
      <c r="E180" s="15">
        <f>IF(($AI$20+$AJ$20+$AK$20+$AL$20-$AL$20+$AL$20*$B$170)=0,0,$AJ$20/($AI$20+$AJ$20+$AK$20+$AL$20-$AL$20+$AL$20*$B$170)*100)</f>
        <v/>
      </c>
      <c r="F180" s="61" t="n"/>
      <c r="G180" s="61" t="n"/>
      <c r="H180" s="15">
        <f>IF(($AI$20+$AJ$20+$AK$20+$AL$20-$AL$20+$AL$20*$B$171)=0,0,$AJ$20/($AI$20+$AJ$20+$AK$20+$AL$20-$AL$20+$AL$20*$B$171)*100)</f>
        <v/>
      </c>
      <c r="I180" s="61" t="n"/>
    </row>
    <row r="181">
      <c r="C181" s="61" t="n"/>
      <c r="D181" s="61" t="n"/>
      <c r="F181" s="61" t="n"/>
      <c r="G181" s="61" t="n"/>
      <c r="I181" s="61" t="n"/>
    </row>
  </sheetData>
  <mergeCells count="38">
    <mergeCell ref="K119:M119"/>
    <mergeCell ref="A114:N114"/>
    <mergeCell ref="A143:N143"/>
    <mergeCell ref="AI18:AL18"/>
    <mergeCell ref="A154:I154"/>
    <mergeCell ref="Q2:T2"/>
    <mergeCell ref="F115:I115"/>
    <mergeCell ref="A115:D115"/>
    <mergeCell ref="A169:N169"/>
    <mergeCell ref="A17:AN17"/>
    <mergeCell ref="S18:Z18"/>
    <mergeCell ref="E2:H2"/>
    <mergeCell ref="K117:M117"/>
    <mergeCell ref="A151:I151"/>
    <mergeCell ref="A168:N168"/>
    <mergeCell ref="A47:I47"/>
    <mergeCell ref="F4:I4"/>
    <mergeCell ref="I2:L2"/>
    <mergeCell ref="A18:B18"/>
    <mergeCell ref="O4:P4"/>
    <mergeCell ref="F117:H117"/>
    <mergeCell ref="A136:N136"/>
    <mergeCell ref="K4:M4"/>
    <mergeCell ref="F123:H123"/>
    <mergeCell ref="K124:M124"/>
    <mergeCell ref="M2:P2"/>
    <mergeCell ref="A1:AN1"/>
    <mergeCell ref="A135:N135"/>
    <mergeCell ref="A4:B4"/>
    <mergeCell ref="AA18:AH18"/>
    <mergeCell ref="A150:N150"/>
    <mergeCell ref="R4:T4"/>
    <mergeCell ref="F127:H127"/>
    <mergeCell ref="A2:D2"/>
    <mergeCell ref="K115:N115"/>
    <mergeCell ref="AM18:AN18"/>
    <mergeCell ref="K18:R18"/>
    <mergeCell ref="C18:J18"/>
  </mergeCells>
  <conditionalFormatting sqref="A20:B44">
    <cfRule type="expression" priority="1" dxfId="0" stopIfTrue="0">
      <formula>$A20&gt;$B$6+$B$7</formula>
    </cfRule>
    <cfRule type="expression" priority="2" dxfId="1" stopIfTrue="0">
      <formula>$A20&gt;$B$6</formula>
    </cfRule>
    <cfRule type="expression" priority="3" dxfId="2" stopIfTrue="0">
      <formula>$A20&lt;=$B$6</formula>
    </cfRule>
  </conditionalFormatting>
  <dataValidations count="2">
    <dataValidation sqref="B117" showDropDown="0" showInputMessage="0" showErrorMessage="0" allowBlank="0" type="list">
      <formula1>"D2EHPA,Cyanex 801"</formula1>
    </dataValidation>
    <dataValidation sqref="B119" showDropDown="0" showInputMessage="0" showErrorMessage="0" allowBlank="0" type="list">
      <formula1>"Orfom,Kerosene"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2026-07-02T02:04:55Z</dcterms:created>
  <dcterms:modified xsi:type="dcterms:W3CDTF">2026-07-02T02:04:56Z</dcterms:modified>
</cp:coreProperties>
</file>