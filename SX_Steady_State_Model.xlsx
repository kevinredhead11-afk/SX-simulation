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X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A237E"/>
      <sz val="9"/>
    </font>
    <font>
      <name val="Calibri"/>
      <b val="1"/>
      <color rgb="00212121"/>
      <sz val="9"/>
    </font>
    <font>
      <name val="Calibri"/>
      <b val="1"/>
      <color rgb="002E7D32"/>
      <sz val="9"/>
    </font>
    <font>
      <name val="Calibri"/>
      <b val="1"/>
      <color rgb="000D47A1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A237E"/>
      <sz val="10"/>
    </font>
    <font>
      <name val="Calibri"/>
      <color rgb="002E7D32"/>
      <sz val="10"/>
    </font>
    <font>
      <name val="Calibri"/>
      <b val="1"/>
      <color rgb="002E7D32"/>
      <sz val="10"/>
    </font>
    <font>
      <name val="Calibri"/>
      <b val="1"/>
      <color rgb="001B3A6B"/>
      <sz val="8"/>
    </font>
    <font>
      <name val="Calibri"/>
      <b val="1"/>
      <color rgb="00212121"/>
      <sz val="8"/>
    </font>
    <font>
      <name val="Calibri"/>
      <b val="1"/>
      <color rgb="002E7D32"/>
      <sz val="8"/>
    </font>
    <font>
      <name val="Calibri"/>
      <b val="1"/>
      <color rgb="000D47A1"/>
      <sz val="8"/>
    </font>
    <font>
      <name val="Calibri"/>
      <b val="1"/>
      <color rgb="00888888"/>
      <sz val="10"/>
    </font>
    <font>
      <name val="Calibri"/>
      <color rgb="00888888"/>
      <sz val="9"/>
    </font>
    <font>
      <name val="Calibri"/>
      <color rgb="00212121"/>
      <sz val="9"/>
    </font>
    <font>
      <name val="Calibri"/>
      <color rgb="000D47A1"/>
      <sz val="9"/>
    </font>
    <font>
      <name val="Calibri"/>
      <b val="1"/>
      <color rgb="00FFFFFF"/>
      <sz val="12"/>
    </font>
    <font>
      <name val="Calibri"/>
      <b val="1"/>
      <color rgb="00FFFFFF"/>
      <sz val="8"/>
    </font>
    <font>
      <name val="Calibri"/>
      <color rgb="002E4057"/>
      <sz val="9"/>
    </font>
    <font>
      <name val="Calibri"/>
      <color rgb="00757575"/>
      <sz val="8"/>
    </font>
    <font>
      <name val="Calibri"/>
      <b val="1"/>
      <color rgb="002E4057"/>
      <sz val="9"/>
    </font>
  </fonts>
  <fills count="16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FFDE7"/>
      </patternFill>
    </fill>
    <fill>
      <patternFill patternType="solid">
        <fgColor rgb="00FFFFFF"/>
      </patternFill>
    </fill>
    <fill>
      <patternFill patternType="solid">
        <fgColor rgb="00E8EAF6"/>
      </patternFill>
    </fill>
    <fill>
      <patternFill patternType="solid">
        <fgColor rgb="00F1F8E9"/>
      </patternFill>
    </fill>
    <fill>
      <patternFill patternType="solid">
        <fgColor rgb="00E3F2FD"/>
      </patternFill>
    </fill>
    <fill>
      <patternFill patternType="solid">
        <fgColor rgb="002E4057"/>
      </patternFill>
    </fill>
    <fill>
      <patternFill patternType="solid">
        <fgColor rgb="004A6FA5"/>
      </patternFill>
    </fill>
    <fill>
      <patternFill patternType="solid">
        <fgColor rgb="00546E7A"/>
      </patternFill>
    </fill>
    <fill>
      <patternFill patternType="solid">
        <fgColor rgb="00455A64"/>
      </patternFill>
    </fill>
    <fill>
      <patternFill patternType="solid">
        <fgColor rgb="0037474F"/>
      </patternFill>
    </fill>
    <fill>
      <patternFill patternType="solid">
        <fgColor rgb="004E6073"/>
      </patternFill>
    </fill>
    <fill>
      <patternFill patternType="solid">
        <fgColor rgb="00D8D8D8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2" fontId="8" fillId="3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 vertical="center"/>
    </xf>
    <xf numFmtId="164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0" fontId="9" fillId="6" borderId="3" applyAlignment="1" pivotButton="0" quotePrefix="0" xfId="0">
      <alignment horizontal="left" vertical="center"/>
    </xf>
    <xf numFmtId="2" fontId="10" fillId="6" borderId="3" applyAlignment="1" pivotButton="0" quotePrefix="0" xfId="0">
      <alignment horizontal="center" vertical="center"/>
    </xf>
    <xf numFmtId="0" fontId="0" fillId="8" borderId="0" pivotButton="0" quotePrefix="0" xfId="0"/>
    <xf numFmtId="0" fontId="6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5" fillId="14" borderId="3" applyAlignment="1" pivotButton="0" quotePrefix="0" xfId="0">
      <alignment horizontal="center" vertical="center"/>
    </xf>
    <xf numFmtId="0" fontId="16" fillId="14" borderId="3" applyAlignment="1" pivotButton="0" quotePrefix="0" xfId="0">
      <alignment horizontal="center" vertical="center"/>
    </xf>
    <xf numFmtId="164" fontId="17" fillId="14" borderId="3" applyAlignment="1" pivotButton="0" quotePrefix="0" xfId="0">
      <alignment horizontal="center" vertical="center"/>
    </xf>
    <xf numFmtId="164" fontId="4" fillId="14" borderId="3" applyAlignment="1" pivotButton="0" quotePrefix="0" xfId="0">
      <alignment horizontal="center" vertical="center"/>
    </xf>
    <xf numFmtId="164" fontId="18" fillId="14" borderId="3" applyAlignment="1" pivotButton="0" quotePrefix="0" xfId="0">
      <alignment horizontal="center" vertical="center"/>
    </xf>
    <xf numFmtId="2" fontId="4" fillId="14" borderId="3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7" fillId="8" borderId="2" applyAlignment="1" pivotButton="0" quotePrefix="0" xfId="0">
      <alignment horizontal="left" vertical="center"/>
    </xf>
    <xf numFmtId="0" fontId="20" fillId="9" borderId="2" applyAlignment="1" pivotButton="0" quotePrefix="0" xfId="0">
      <alignment horizontal="center" vertical="center"/>
    </xf>
    <xf numFmtId="0" fontId="0" fillId="4" borderId="3" pivotButton="0" quotePrefix="0" xfId="0"/>
    <xf numFmtId="0" fontId="21" fillId="15" borderId="3" applyAlignment="1" pivotButton="0" quotePrefix="0" xfId="0">
      <alignment horizontal="left" vertical="center"/>
    </xf>
    <xf numFmtId="0" fontId="22" fillId="15" borderId="3" applyAlignment="1" pivotButton="0" quotePrefix="0" xfId="0">
      <alignment horizontal="left" vertical="center"/>
    </xf>
    <xf numFmtId="0" fontId="0" fillId="15" borderId="3" pivotButton="0" quotePrefix="0" xfId="0"/>
    <xf numFmtId="0" fontId="20" fillId="9" borderId="2" applyAlignment="1" pivotButton="0" quotePrefix="0" xfId="0">
      <alignment horizontal="left" vertical="center"/>
    </xf>
    <xf numFmtId="166" fontId="17" fillId="4" borderId="3" applyAlignment="1" pivotButton="0" quotePrefix="0" xfId="0">
      <alignment horizontal="center" vertical="center"/>
    </xf>
    <xf numFmtId="164" fontId="18" fillId="7" borderId="3" applyAlignment="1" pivotButton="0" quotePrefix="0" xfId="0">
      <alignment horizontal="center" vertical="center"/>
    </xf>
    <xf numFmtId="165" fontId="17" fillId="4" borderId="3" applyAlignment="1" pivotButton="0" quotePrefix="0" xfId="0">
      <alignment horizontal="center" vertical="center"/>
    </xf>
    <xf numFmtId="166" fontId="8" fillId="3" borderId="3" applyAlignment="1" pivotButton="0" quotePrefix="0" xfId="0">
      <alignment horizontal="center" vertical="center"/>
    </xf>
    <xf numFmtId="0" fontId="23" fillId="15" borderId="3" applyAlignment="1" pivotButton="0" quotePrefix="0" xfId="0">
      <alignment horizontal="left" vertical="center"/>
    </xf>
    <xf numFmtId="165" fontId="4" fillId="6" borderId="3" applyAlignment="1" pivotButton="0" quotePrefix="0" xfId="0">
      <alignment horizontal="center" vertical="center"/>
    </xf>
    <xf numFmtId="2" fontId="17" fillId="4" borderId="3" applyAlignment="1" pivotButton="0" quotePrefix="0" xfId="0">
      <alignment horizontal="center" vertical="center"/>
    </xf>
    <xf numFmtId="166" fontId="10" fillId="6" borderId="3" applyAlignment="1" pivotButton="0" quotePrefix="0" xfId="0">
      <alignment horizontal="center" vertical="center"/>
    </xf>
    <xf numFmtId="166" fontId="18" fillId="7" borderId="3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D8D8D8"/>
        </patternFill>
      </fill>
    </dxf>
    <dxf>
      <fill>
        <patternFill patternType="solid">
          <fgColor rgb="00E8F5E9"/>
        </patternFill>
      </fill>
    </dxf>
    <dxf>
      <fill>
        <patternFill patternType="solid">
          <fgColor rgb="00F3E5F5"/>
        </patternFill>
      </fill>
    </dxf>
    <dxf>
      <fill>
        <patternFill patternType="solid">
          <fgColor rgb="00FFFD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Aqueous Distributions — Absolute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Model'!G123</f>
            </strRef>
          </tx>
          <spPr>
            <a:ln w="22000">
              <a:solidFill>
                <a:srgbClr val="1B3A6B"/>
              </a:solidFill>
              <a:prstDash val="solid"/>
            </a:ln>
          </spPr>
          <marker>
            <symbol val="circle"/>
            <size val="5"/>
            <spPr>
              <a:solidFill>
                <a:srgbClr val="1B3A6B"/>
              </a:solidFill>
              <a:ln>
                <a:solidFill>
                  <a:srgbClr val="1B3A6B"/>
                </a:solidFill>
                <a:prstDash val="solid"/>
              </a:ln>
            </spPr>
          </marker>
          <cat>
            <numRef>
              <f>'SX Model'!$A$123:$A$222</f>
            </numRef>
          </cat>
          <val>
            <numRef>
              <f>'SX Model'!$G$124:$G$222</f>
            </numRef>
          </val>
        </ser>
        <ser>
          <idx val="1"/>
          <order val="1"/>
          <tx>
            <strRef>
              <f>'SX Model'!F123</f>
            </strRef>
          </tx>
          <spPr>
            <a:ln w="22000">
              <a:solidFill>
                <a:srgbClr val="C07B30"/>
              </a:solidFill>
              <a:prstDash val="solid"/>
            </a:ln>
          </spPr>
          <marker>
            <symbol val="circle"/>
            <size val="5"/>
            <spPr>
              <a:solidFill>
                <a:srgbClr val="C07B30"/>
              </a:solidFill>
              <a:ln>
                <a:solidFill>
                  <a:srgbClr val="C07B30"/>
                </a:solidFill>
                <a:prstDash val="solid"/>
              </a:ln>
            </spPr>
          </marker>
          <cat>
            <numRef>
              <f>'SX Model'!$A$123:$A$222</f>
            </numRef>
          </cat>
          <val>
            <numRef>
              <f>'SX Model'!$F$124:$F$222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Concentration  X  (g/L)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Aqueous Distributions — % of Total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Model'!H123</f>
            </strRef>
          </tx>
          <spPr>
            <a:ln w="22000">
              <a:solidFill>
                <a:srgbClr val="1B3A6B"/>
              </a:solidFill>
              <a:prstDash val="solid"/>
            </a:ln>
          </spPr>
          <marker>
            <symbol val="circle"/>
            <size val="5"/>
            <spPr>
              <a:solidFill>
                <a:srgbClr val="1B3A6B"/>
              </a:solidFill>
              <a:ln>
                <a:solidFill>
                  <a:srgbClr val="1B3A6B"/>
                </a:solidFill>
                <a:prstDash val="solid"/>
              </a:ln>
            </spPr>
          </marker>
          <cat>
            <numRef>
              <f>'SX Model'!$A$123:$A$222</f>
            </numRef>
          </cat>
          <val>
            <numRef>
              <f>'SX Model'!$H$124:$H$222</f>
            </numRef>
          </val>
        </ser>
        <ser>
          <idx val="1"/>
          <order val="1"/>
          <tx>
            <strRef>
              <f>'SX Model'!I123</f>
            </strRef>
          </tx>
          <spPr>
            <a:ln w="22000">
              <a:solidFill>
                <a:srgbClr val="C07B30"/>
              </a:solidFill>
              <a:prstDash val="solid"/>
            </a:ln>
          </spPr>
          <marker>
            <symbol val="circle"/>
            <size val="5"/>
            <spPr>
              <a:solidFill>
                <a:srgbClr val="C07B30"/>
              </a:solidFill>
              <a:ln>
                <a:solidFill>
                  <a:srgbClr val="C07B30"/>
                </a:solidFill>
                <a:prstDash val="solid"/>
              </a:ln>
            </spPr>
          </marker>
          <cat>
            <numRef>
              <f>'SX Model'!$A$123:$A$222</f>
            </numRef>
          </cat>
          <val>
            <numRef>
              <f>'SX Model'!$I$124:$I$222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Distribution  (%)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224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224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3A6B"/>
    <outlinePr summaryBelow="1" summaryRight="1"/>
    <pageSetUpPr/>
  </sheetPr>
  <dimension ref="A1:AN28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2" customWidth="1" min="39" max="39"/>
    <col width="12" customWidth="1" min="40" max="40"/>
  </cols>
  <sheetData>
    <row r="1" ht="30" customHeight="1">
      <c r="A1" s="1" t="inlineStr">
        <is>
          <t>SX STEADY-STATE MODEL  ·  Alind Formulation  ·  D2EHPA / HCl  ·  TDMA Direct Solver</t>
        </is>
      </c>
    </row>
    <row r="2" ht="18" customHeight="1">
      <c r="A2" s="2" t="inlineStr">
        <is>
          <t>INPUT — hard-coded value</t>
        </is>
      </c>
      <c r="E2" s="3" t="inlineStr">
        <is>
          <t>CALC — intermediate formula</t>
        </is>
      </c>
      <c r="I2" s="4" t="inlineStr">
        <is>
          <t>STEP — TDMA sweep (c′ d′)</t>
        </is>
      </c>
      <c r="M2" s="5" t="inlineStr">
        <is>
          <t>OUTPUT — solution / result</t>
        </is>
      </c>
      <c r="Q2" s="6" t="inlineStr">
        <is>
          <t>REF — derived / linked</t>
        </is>
      </c>
    </row>
    <row r="3" ht="6" customHeight="1"/>
    <row r="4">
      <c r="A4" s="7" t="inlineStr">
        <is>
          <t xml:space="preserve">  GENERAL INPUTS</t>
        </is>
      </c>
      <c r="F4" s="7" t="inlineStr">
        <is>
          <t xml:space="preserve">  DISTRIBUTION COEFFICIENTS   D = P × [HCl]^Q</t>
        </is>
      </c>
      <c r="K4" s="7" t="inlineStr">
        <is>
          <t xml:space="preserve">  FEED CONCENTRATIONS</t>
        </is>
      </c>
      <c r="O4" s="7" t="inlineStr">
        <is>
          <t xml:space="preserve">  RESULTS SUMMARY</t>
        </is>
      </c>
    </row>
    <row r="5" ht="16" customHeight="1">
      <c r="A5" s="8" t="inlineStr">
        <is>
          <t>Parameter</t>
        </is>
      </c>
      <c r="B5" s="8" t="inlineStr">
        <is>
          <t>Value</t>
        </is>
      </c>
      <c r="F5" s="8" t="inlineStr">
        <is>
          <t>Element</t>
        </is>
      </c>
      <c r="H5" s="8" t="inlineStr">
        <is>
          <t>P</t>
        </is>
      </c>
      <c r="I5" s="8" t="inlineStr">
        <is>
          <t>Q</t>
        </is>
      </c>
      <c r="K5" s="8" t="inlineStr">
        <is>
          <t>Element</t>
        </is>
      </c>
      <c r="M5" s="8" t="inlineStr">
        <is>
          <t>Feed (g/L)</t>
        </is>
      </c>
      <c r="O5" s="8" t="inlineStr">
        <is>
          <t>Metric</t>
        </is>
      </c>
      <c r="P5" s="8" t="inlineStr">
        <is>
          <t>Value</t>
        </is>
      </c>
    </row>
    <row r="6">
      <c r="A6" s="9" t="inlineStr">
        <is>
          <t>Extraction Stages  (n_ext)</t>
        </is>
      </c>
      <c r="B6" s="10" t="n">
        <v>10</v>
      </c>
      <c r="F6" s="11" t="inlineStr">
        <is>
          <t>Pr</t>
        </is>
      </c>
      <c r="H6" s="12" t="n">
        <v>0.0008</v>
      </c>
      <c r="I6" s="13" t="n">
        <v>-1.973</v>
      </c>
      <c r="K6" s="11" t="inlineStr">
        <is>
          <t>Pr</t>
        </is>
      </c>
      <c r="M6" s="10" t="n">
        <v>0</v>
      </c>
      <c r="O6" s="14" t="inlineStr">
        <is>
          <t>Loaded Organic @ Extraction Exit (g/L)</t>
        </is>
      </c>
      <c r="P6" s="15">
        <f>INDEX($AM:$AM,19+$B$6)</f>
        <v/>
      </c>
    </row>
    <row r="7">
      <c r="A7" s="9" t="inlineStr">
        <is>
          <t>Scrub Stages  (n_scr)</t>
        </is>
      </c>
      <c r="B7" s="10" t="n">
        <v>10</v>
      </c>
      <c r="F7" s="11" t="inlineStr">
        <is>
          <t>Nd</t>
        </is>
      </c>
      <c r="H7" s="12" t="n">
        <v>0.0031</v>
      </c>
      <c r="I7" s="13" t="n">
        <v>-2.541</v>
      </c>
      <c r="K7" s="11" t="inlineStr">
        <is>
          <t>Nd</t>
        </is>
      </c>
      <c r="M7" s="10" t="n">
        <v>20.8</v>
      </c>
      <c r="O7" s="14" t="inlineStr">
        <is>
          <t>Raffinate — Nd  (g/L)</t>
        </is>
      </c>
      <c r="P7" s="15">
        <f>$AJ$20</f>
        <v/>
      </c>
    </row>
    <row r="8">
      <c r="A8" s="9" t="inlineStr">
        <is>
          <t>Strip Stages  (n_str)</t>
        </is>
      </c>
      <c r="B8" s="10" t="n">
        <v>5</v>
      </c>
      <c r="F8" s="11" t="inlineStr">
        <is>
          <t>Tb</t>
        </is>
      </c>
      <c r="H8" s="12" t="n">
        <v>0.378</v>
      </c>
      <c r="I8" s="13" t="n">
        <v>-2.624</v>
      </c>
      <c r="K8" s="11" t="inlineStr">
        <is>
          <t>Tb</t>
        </is>
      </c>
      <c r="M8" s="10" t="n">
        <v>0</v>
      </c>
      <c r="O8" s="14" t="inlineStr">
        <is>
          <t>Raffinate — Dy  (g/L)</t>
        </is>
      </c>
      <c r="P8" s="15">
        <f>$AL$20</f>
        <v/>
      </c>
    </row>
    <row r="9">
      <c r="A9" s="9" t="inlineStr">
        <is>
          <t>HCl Normality — Extraction  [N]</t>
        </is>
      </c>
      <c r="B9" s="10" t="n">
        <v>0.5</v>
      </c>
      <c r="F9" s="11" t="inlineStr">
        <is>
          <t>Dy</t>
        </is>
      </c>
      <c r="H9" s="12" t="n">
        <v>0.5959</v>
      </c>
      <c r="I9" s="13" t="n">
        <v>-2.431</v>
      </c>
      <c r="K9" s="11" t="inlineStr">
        <is>
          <t>Dy</t>
        </is>
      </c>
      <c r="M9" s="10" t="n">
        <v>2.68</v>
      </c>
      <c r="O9" s="14" t="inlineStr">
        <is>
          <t>Preg — Nd  (g/L)</t>
        </is>
      </c>
      <c r="P9" s="15">
        <f>INDEX($AJ:$AJ,20+$B$6+$B$7)</f>
        <v/>
      </c>
    </row>
    <row r="10">
      <c r="A10" s="9" t="inlineStr">
        <is>
          <t>HCl Normality — Scrub  [N]</t>
        </is>
      </c>
      <c r="B10" s="10" t="n">
        <v>1.37</v>
      </c>
      <c r="O10" s="14" t="inlineStr">
        <is>
          <t>Preg — Dy  (g/L)</t>
        </is>
      </c>
      <c r="P10" s="15">
        <f>INDEX($AL:$AL,20+$B$6+$B$7)</f>
        <v/>
      </c>
    </row>
    <row r="11">
      <c r="A11" s="9" t="inlineStr">
        <is>
          <t>HCl Normality — Strip  [N]</t>
        </is>
      </c>
      <c r="B11" s="10" t="n">
        <v>5</v>
      </c>
      <c r="O11" s="14" t="inlineStr">
        <is>
          <t>% Feed  —  Nd</t>
        </is>
      </c>
      <c r="P11" s="15">
        <f>IF(($M$6+$M$7+$M$8+$M$9)=0,0,$M$7/($M$6+$M$7+$M$8+$M$9)*100)</f>
        <v/>
      </c>
    </row>
    <row r="12">
      <c r="A12" s="9" t="inlineStr">
        <is>
          <t>Feed Flowrate  (F)</t>
        </is>
      </c>
      <c r="B12" s="10" t="n">
        <v>25</v>
      </c>
      <c r="O12" s="14" t="inlineStr">
        <is>
          <t>% Feed  —  Dy</t>
        </is>
      </c>
      <c r="P12" s="15">
        <f>IF(($M$6+$M$7+$M$8+$M$9)=0,0,$M$9/($M$6+$M$7+$M$8+$M$9)*100)</f>
        <v/>
      </c>
    </row>
    <row r="13">
      <c r="A13" s="9" t="inlineStr">
        <is>
          <t>Strip Flowrate  (S)</t>
        </is>
      </c>
      <c r="B13" s="10" t="n">
        <v>12</v>
      </c>
      <c r="O13" s="14" t="inlineStr">
        <is>
          <t>% Purity in Raffinate  —  Nd</t>
        </is>
      </c>
      <c r="P13" s="15">
        <f>IF(($AI$20+$AJ$20+$AK$20+$AL$20)=0,0,$AJ$20/($AI$20+$AJ$20+$AK$20+$AL$20)*100)</f>
        <v/>
      </c>
    </row>
    <row r="14">
      <c r="A14" s="9" t="inlineStr">
        <is>
          <t>Organic Flow  (O)</t>
        </is>
      </c>
      <c r="B14" s="10" t="n">
        <v>32.5</v>
      </c>
      <c r="O14" s="14" t="inlineStr">
        <is>
          <t>% Purity in Preg  —  Dy</t>
        </is>
      </c>
      <c r="P14" s="15">
        <f>IF((INDEX($AI:$AI,20+$B$6+$B$7)+INDEX($AJ:$AJ,20+$B$6+$B$7)+INDEX($AK:$AK,20+$B$6+$B$7)+INDEX($AL:$AL,20+$B$6+$B$7))=0,0,INDEX($AL:$AL,20+$B$6+$B$7)/(INDEX($AI:$AI,20+$B$6+$B$7)+INDEX($AJ:$AJ,20+$B$6+$B$7)+INDEX($AK:$AK,20+$B$6+$B$7)+INDEX($AL:$AL,20+$B$6+$B$7))*100)</f>
        <v/>
      </c>
    </row>
    <row r="15">
      <c r="A15" s="9" t="inlineStr">
        <is>
          <t>Reflux  (R)  [decimal: 0.70 = 70%]</t>
        </is>
      </c>
      <c r="B15" s="10" t="n">
        <v>0.7</v>
      </c>
      <c r="O15" s="14" t="inlineStr">
        <is>
          <t>Scrub Flowrate  =  S × R</t>
        </is>
      </c>
      <c r="P15" s="15">
        <f>$B$13*$B$15</f>
        <v/>
      </c>
    </row>
    <row r="16" ht="6" customHeight="1">
      <c r="O16" s="14" t="inlineStr">
        <is>
          <t>Preg Flowrate   =  S × (1−R)</t>
        </is>
      </c>
      <c r="P16" s="15">
        <f>$B$13*(1-$B$15)</f>
        <v/>
      </c>
    </row>
    <row r="17" ht="20" customHeight="1">
      <c r="A17" s="7" t="inlineStr">
        <is>
          <t>SOLVER  ·  TDMA (Thomas Algorithm)  ·  Columns:  D_i  |  a  b  c  d  (matrix)  |  c′  d′  (forward sweep →)  |  y_org  (back substitution ←)  |  x_aq  (aqueous output)</t>
        </is>
      </c>
    </row>
    <row r="18" ht="18" customHeight="1">
      <c r="A18" s="16" t="n"/>
      <c r="C18" s="17" t="inlineStr">
        <is>
          <t>Pr  (8 columns)</t>
        </is>
      </c>
      <c r="K18" s="18" t="inlineStr">
        <is>
          <t>Nd  (8 columns)</t>
        </is>
      </c>
      <c r="S18" s="19" t="inlineStr">
        <is>
          <t>Tb  (8 columns)</t>
        </is>
      </c>
      <c r="AA18" s="20" t="inlineStr">
        <is>
          <t>Dy  (8 columns)</t>
        </is>
      </c>
      <c r="AI18" s="21" t="inlineStr">
        <is>
          <t>Aqueous  x_i</t>
        </is>
      </c>
      <c r="AM18" s="21" t="inlineStr">
        <is>
          <t>Totals</t>
        </is>
      </c>
    </row>
    <row r="19" ht="26" customHeight="1">
      <c r="A19" s="8" t="inlineStr">
        <is>
          <t>Stage</t>
        </is>
      </c>
      <c r="B19" s="8" t="inlineStr">
        <is>
          <t>Section</t>
        </is>
      </c>
      <c r="C19" s="22" t="inlineStr">
        <is>
          <t>D_i</t>
        </is>
      </c>
      <c r="D19" s="22" t="inlineStr">
        <is>
          <t>a</t>
        </is>
      </c>
      <c r="E19" s="22" t="inlineStr">
        <is>
          <t>b</t>
        </is>
      </c>
      <c r="F19" s="22" t="inlineStr">
        <is>
          <t>c</t>
        </is>
      </c>
      <c r="G19" s="22" t="inlineStr">
        <is>
          <t>d (RHS)</t>
        </is>
      </c>
      <c r="H19" s="23" t="inlineStr">
        <is>
          <t>c′ →</t>
        </is>
      </c>
      <c r="I19" s="23" t="inlineStr">
        <is>
          <t>d′ →</t>
        </is>
      </c>
      <c r="J19" s="24" t="inlineStr">
        <is>
          <t>y_org ←</t>
        </is>
      </c>
      <c r="K19" s="22" t="inlineStr">
        <is>
          <t>D_i</t>
        </is>
      </c>
      <c r="L19" s="22" t="inlineStr">
        <is>
          <t>a</t>
        </is>
      </c>
      <c r="M19" s="22" t="inlineStr">
        <is>
          <t>b</t>
        </is>
      </c>
      <c r="N19" s="22" t="inlineStr">
        <is>
          <t>c</t>
        </is>
      </c>
      <c r="O19" s="22" t="inlineStr">
        <is>
          <t>d (RHS)</t>
        </is>
      </c>
      <c r="P19" s="23" t="inlineStr">
        <is>
          <t>c′ →</t>
        </is>
      </c>
      <c r="Q19" s="23" t="inlineStr">
        <is>
          <t>d′ →</t>
        </is>
      </c>
      <c r="R19" s="24" t="inlineStr">
        <is>
          <t>y_org ←</t>
        </is>
      </c>
      <c r="S19" s="22" t="inlineStr">
        <is>
          <t>D_i</t>
        </is>
      </c>
      <c r="T19" s="22" t="inlineStr">
        <is>
          <t>a</t>
        </is>
      </c>
      <c r="U19" s="22" t="inlineStr">
        <is>
          <t>b</t>
        </is>
      </c>
      <c r="V19" s="22" t="inlineStr">
        <is>
          <t>c</t>
        </is>
      </c>
      <c r="W19" s="22" t="inlineStr">
        <is>
          <t>d (RHS)</t>
        </is>
      </c>
      <c r="X19" s="23" t="inlineStr">
        <is>
          <t>c′ →</t>
        </is>
      </c>
      <c r="Y19" s="23" t="inlineStr">
        <is>
          <t>d′ →</t>
        </is>
      </c>
      <c r="Z19" s="24" t="inlineStr">
        <is>
          <t>y_org ←</t>
        </is>
      </c>
      <c r="AA19" s="22" t="inlineStr">
        <is>
          <t>D_i</t>
        </is>
      </c>
      <c r="AB19" s="22" t="inlineStr">
        <is>
          <t>a</t>
        </is>
      </c>
      <c r="AC19" s="22" t="inlineStr">
        <is>
          <t>b</t>
        </is>
      </c>
      <c r="AD19" s="22" t="inlineStr">
        <is>
          <t>c</t>
        </is>
      </c>
      <c r="AE19" s="22" t="inlineStr">
        <is>
          <t>d (RHS)</t>
        </is>
      </c>
      <c r="AF19" s="23" t="inlineStr">
        <is>
          <t>c′ →</t>
        </is>
      </c>
      <c r="AG19" s="23" t="inlineStr">
        <is>
          <t>d′ →</t>
        </is>
      </c>
      <c r="AH19" s="24" t="inlineStr">
        <is>
          <t>y_org ←</t>
        </is>
      </c>
      <c r="AI19" s="25" t="inlineStr">
        <is>
          <t>x_Pr</t>
        </is>
      </c>
      <c r="AJ19" s="25" t="inlineStr">
        <is>
          <t>x_Nd</t>
        </is>
      </c>
      <c r="AK19" s="25" t="inlineStr">
        <is>
          <t>x_Tb</t>
        </is>
      </c>
      <c r="AL19" s="25" t="inlineStr">
        <is>
          <t>x_Dy</t>
        </is>
      </c>
      <c r="AM19" s="26" t="inlineStr">
        <is>
          <t>Σ Organic</t>
        </is>
      </c>
      <c r="AN19" s="26" t="inlineStr">
        <is>
          <t>Σ Aqueous</t>
        </is>
      </c>
    </row>
    <row r="20">
      <c r="A20" s="27" t="n">
        <v>1</v>
      </c>
      <c r="B20" s="28">
        <f>IF(A20&gt;$B$5+$B$6+$B$7,"—",IF(A20&lt;=$B$6,"Extraction",IF(A20&lt;=$B$6+$B$7,"Scrub","Strip")))</f>
        <v/>
      </c>
      <c r="C20" s="29">
        <f>IF(A20&gt;$B$5+$B$6+$B$7,0,IF(A20&lt;=$B$6,$H$6*$B$9^$I$6,IF(A20&lt;=$B$6+$B$7,$H$6*$B$10^$I$6,$H$6*$B$11^$I$6)))</f>
        <v/>
      </c>
      <c r="D20" s="29">
        <f>IF(A20&gt;$B$5+$B$6+$B$7,0,IF(A20=1,0,$B$14))</f>
        <v/>
      </c>
      <c r="E20" s="29">
        <f>IF(A20&gt;$B$5+$B$6+$B$7,0,IF(A20&gt;$B$6+$B$7,-$B$14-$B$13/C20,IF(A20&gt;$B$6,-$B$14-$B$13*$B$15/C20,-$B$14-($B$13*$B$15+$B$12)/C20)))</f>
        <v/>
      </c>
      <c r="F20" s="29">
        <f>IF(A20&gt;$B$5+$B$6+$B$7,0,IF(A20+1&gt;$B$5+$B$6+$B$7,0,IF(A20&gt;$B$6+$B$7,$B$13/C21,IF(A20&gt;=$B$6,$B$13*$B$15/C21,($B$13*$B$15+$B$12)/C21))))</f>
        <v/>
      </c>
      <c r="G20" s="29">
        <f>IF(A20&gt;$B$5+$B$6+$B$7,0,IF(A20=$B$6,-$M$6*$B$12,0))</f>
        <v/>
      </c>
      <c r="H20" s="29">
        <f>IF(A20&gt;$B$5+$B$6+$B$7,0,F20/E20)</f>
        <v/>
      </c>
      <c r="I20" s="29">
        <f>IF(A20&gt;$B$5+$B$6+$B$7,0,G20/E20)</f>
        <v/>
      </c>
      <c r="J20" s="30">
        <f>IF(A20&gt;$B$5+$B$6+$B$7,0,I20-H20*J21)</f>
        <v/>
      </c>
      <c r="K20" s="29">
        <f>IF(A20&gt;$B$5+$B$6+$B$7,0,IF(A20&lt;=$B$6,$H$7*$B$9^$I$7,IF(A20&lt;=$B$6+$B$7,$H$7*$B$10^$I$7,$H$7*$B$11^$I$7)))</f>
        <v/>
      </c>
      <c r="L20" s="29">
        <f>IF(A20&gt;$B$5+$B$6+$B$7,0,IF(A20=1,0,$B$14))</f>
        <v/>
      </c>
      <c r="M20" s="29">
        <f>IF(A20&gt;$B$5+$B$6+$B$7,0,IF(A20&gt;$B$6+$B$7,-$B$14-$B$13/K20,IF(A20&gt;$B$6,-$B$14-$B$13*$B$15/K20,-$B$14-($B$13*$B$15+$B$12)/K20)))</f>
        <v/>
      </c>
      <c r="N20" s="29">
        <f>IF(A20&gt;$B$5+$B$6+$B$7,0,IF(A20+1&gt;$B$5+$B$6+$B$7,0,IF(A20&gt;$B$6+$B$7,$B$13/K21,IF(A20&gt;=$B$6,$B$13*$B$15/K21,($B$13*$B$15+$B$12)/K21))))</f>
        <v/>
      </c>
      <c r="O20" s="29">
        <f>IF(A20&gt;$B$5+$B$6+$B$7,0,IF(A20=$B$6,-$M$7*$B$12,0))</f>
        <v/>
      </c>
      <c r="P20" s="29">
        <f>IF(A20&gt;$B$5+$B$6+$B$7,0,N20/M20)</f>
        <v/>
      </c>
      <c r="Q20" s="29">
        <f>IF(A20&gt;$B$5+$B$6+$B$7,0,O20/M20)</f>
        <v/>
      </c>
      <c r="R20" s="30">
        <f>IF(A20&gt;$B$5+$B$6+$B$7,0,Q20-P20*R21)</f>
        <v/>
      </c>
      <c r="S20" s="29">
        <f>IF(A20&gt;$B$5+$B$6+$B$7,0,IF(A20&lt;=$B$6,$H$8*$B$9^$I$8,IF(A20&lt;=$B$6+$B$7,$H$8*$B$10^$I$8,$H$8*$B$11^$I$8)))</f>
        <v/>
      </c>
      <c r="T20" s="29">
        <f>IF(A20&gt;$B$5+$B$6+$B$7,0,IF(A20=1,0,$B$14))</f>
        <v/>
      </c>
      <c r="U20" s="29">
        <f>IF(A20&gt;$B$5+$B$6+$B$7,0,IF(A20&gt;$B$6+$B$7,-$B$14-$B$13/S20,IF(A20&gt;$B$6,-$B$14-$B$13*$B$15/S20,-$B$14-($B$13*$B$15+$B$12)/S20)))</f>
        <v/>
      </c>
      <c r="V20" s="29">
        <f>IF(A20&gt;$B$5+$B$6+$B$7,0,IF(A20+1&gt;$B$5+$B$6+$B$7,0,IF(A20&gt;$B$6+$B$7,$B$13/S21,IF(A20&gt;=$B$6,$B$13*$B$15/S21,($B$13*$B$15+$B$12)/S21))))</f>
        <v/>
      </c>
      <c r="W20" s="29">
        <f>IF(A20&gt;$B$5+$B$6+$B$7,0,IF(A20=$B$6,-$M$8*$B$12,0))</f>
        <v/>
      </c>
      <c r="X20" s="29">
        <f>IF(A20&gt;$B$5+$B$6+$B$7,0,V20/U20)</f>
        <v/>
      </c>
      <c r="Y20" s="29">
        <f>IF(A20&gt;$B$5+$B$6+$B$7,0,W20/U20)</f>
        <v/>
      </c>
      <c r="Z20" s="30">
        <f>IF(A20&gt;$B$5+$B$6+$B$7,0,Y20-X20*Z21)</f>
        <v/>
      </c>
      <c r="AA20" s="29">
        <f>IF(A20&gt;$B$5+$B$6+$B$7,0,IF(A20&lt;=$B$6,$H$9*$B$9^$I$9,IF(A20&lt;=$B$6+$B$7,$H$9*$B$10^$I$9,$H$9*$B$11^$I$9)))</f>
        <v/>
      </c>
      <c r="AB20" s="29">
        <f>IF(A20&gt;$B$5+$B$6+$B$7,0,IF(A20=1,0,$B$14))</f>
        <v/>
      </c>
      <c r="AC20" s="29">
        <f>IF(A20&gt;$B$5+$B$6+$B$7,0,IF(A20&gt;$B$6+$B$7,-$B$14-$B$13/AA20,IF(A20&gt;$B$6,-$B$14-$B$13*$B$15/AA20,-$B$14-($B$13*$B$15+$B$12)/AA20)))</f>
        <v/>
      </c>
      <c r="AD20" s="29">
        <f>IF(A20&gt;$B$5+$B$6+$B$7,0,IF(A20+1&gt;$B$5+$B$6+$B$7,0,IF(A20&gt;$B$6+$B$7,$B$13/AA21,IF(A20&gt;=$B$6,$B$13*$B$15/AA21,($B$13*$B$15+$B$12)/AA21))))</f>
        <v/>
      </c>
      <c r="AE20" s="29">
        <f>IF(A20&gt;$B$5+$B$6+$B$7,0,IF(A20=$B$6,-$M$9*$B$12,0))</f>
        <v/>
      </c>
      <c r="AF20" s="29">
        <f>IF(A20&gt;$B$5+$B$6+$B$7,0,AD20/AC20)</f>
        <v/>
      </c>
      <c r="AG20" s="29">
        <f>IF(A20&gt;$B$5+$B$6+$B$7,0,AE20/AC20)</f>
        <v/>
      </c>
      <c r="AH20" s="30">
        <f>IF(A20&gt;$B$5+$B$6+$B$7,0,AG20-AF20*AH21)</f>
        <v/>
      </c>
      <c r="AI20" s="31">
        <f>IF(A20&gt;$B$5+$B$6+$B$7,0,IF(C20&lt;&gt;0,J20/C20,0))</f>
        <v/>
      </c>
      <c r="AJ20" s="31">
        <f>IF(A20&gt;$B$5+$B$6+$B$7,0,IF(K20&lt;&gt;0,R20/K20,0))</f>
        <v/>
      </c>
      <c r="AK20" s="31">
        <f>IF(A20&gt;$B$5+$B$6+$B$7,0,IF(S20&lt;&gt;0,Z20/S20,0))</f>
        <v/>
      </c>
      <c r="AL20" s="31">
        <f>IF(A20&gt;$B$5+$B$6+$B$7,0,IF(AA20&lt;&gt;0,AH20/AA20,0))</f>
        <v/>
      </c>
      <c r="AM20" s="30">
        <f>J20+R20+Z20+AH20</f>
        <v/>
      </c>
      <c r="AN20" s="30">
        <f>AI20+AJ20+AK20+AL20</f>
        <v/>
      </c>
    </row>
    <row r="21">
      <c r="A21" s="27" t="n">
        <v>2</v>
      </c>
      <c r="B21" s="28">
        <f>IF(A21&gt;$B$5+$B$6+$B$7,"—",IF(A21&lt;=$B$6,"Extraction",IF(A21&lt;=$B$6+$B$7,"Scrub","Strip")))</f>
        <v/>
      </c>
      <c r="C21" s="29">
        <f>IF(A21&gt;$B$5+$B$6+$B$7,0,IF(A21&lt;=$B$6,$H$6*$B$9^$I$6,IF(A21&lt;=$B$6+$B$7,$H$6*$B$10^$I$6,$H$6*$B$11^$I$6)))</f>
        <v/>
      </c>
      <c r="D21" s="29">
        <f>IF(A21&gt;$B$5+$B$6+$B$7,0,IF(A21=1,0,$B$14))</f>
        <v/>
      </c>
      <c r="E21" s="29">
        <f>IF(A21&gt;$B$5+$B$6+$B$7,0,IF(A21&gt;$B$6+$B$7,-$B$14-$B$13/C21,IF(A21&gt;$B$6,-$B$14-$B$13*$B$15/C21,-$B$14-($B$13*$B$15+$B$12)/C21)))</f>
        <v/>
      </c>
      <c r="F21" s="29">
        <f>IF(A21&gt;$B$5+$B$6+$B$7,0,IF(A21+1&gt;$B$5+$B$6+$B$7,0,IF(A21&gt;$B$6+$B$7,$B$13/C22,IF(A21&gt;=$B$6,$B$13*$B$15/C22,($B$13*$B$15+$B$12)/C22))))</f>
        <v/>
      </c>
      <c r="G21" s="29">
        <f>IF(A21&gt;$B$5+$B$6+$B$7,0,IF(A21=$B$6,-$M$6*$B$12,0))</f>
        <v/>
      </c>
      <c r="H21" s="29">
        <f>IF(A21&gt;$B$5+$B$6+$B$7,0,F21/(E21-D21*H20))</f>
        <v/>
      </c>
      <c r="I21" s="29">
        <f>IF(A21&gt;$B$5+$B$6+$B$7,0,(G21-D21*I20)/(E21-D21*H20))</f>
        <v/>
      </c>
      <c r="J21" s="30">
        <f>IF(A21&gt;$B$5+$B$6+$B$7,0,I21-H21*J22)</f>
        <v/>
      </c>
      <c r="K21" s="29">
        <f>IF(A21&gt;$B$5+$B$6+$B$7,0,IF(A21&lt;=$B$6,$H$7*$B$9^$I$7,IF(A21&lt;=$B$6+$B$7,$H$7*$B$10^$I$7,$H$7*$B$11^$I$7)))</f>
        <v/>
      </c>
      <c r="L21" s="29">
        <f>IF(A21&gt;$B$5+$B$6+$B$7,0,IF(A21=1,0,$B$14))</f>
        <v/>
      </c>
      <c r="M21" s="29">
        <f>IF(A21&gt;$B$5+$B$6+$B$7,0,IF(A21&gt;$B$6+$B$7,-$B$14-$B$13/K21,IF(A21&gt;$B$6,-$B$14-$B$13*$B$15/K21,-$B$14-($B$13*$B$15+$B$12)/K21)))</f>
        <v/>
      </c>
      <c r="N21" s="29">
        <f>IF(A21&gt;$B$5+$B$6+$B$7,0,IF(A21+1&gt;$B$5+$B$6+$B$7,0,IF(A21&gt;$B$6+$B$7,$B$13/K22,IF(A21&gt;=$B$6,$B$13*$B$15/K22,($B$13*$B$15+$B$12)/K22))))</f>
        <v/>
      </c>
      <c r="O21" s="29">
        <f>IF(A21&gt;$B$5+$B$6+$B$7,0,IF(A21=$B$6,-$M$7*$B$12,0))</f>
        <v/>
      </c>
      <c r="P21" s="29">
        <f>IF(A21&gt;$B$5+$B$6+$B$7,0,N21/(M21-L21*P20))</f>
        <v/>
      </c>
      <c r="Q21" s="29">
        <f>IF(A21&gt;$B$5+$B$6+$B$7,0,(O21-L21*Q20)/(M21-L21*P20))</f>
        <v/>
      </c>
      <c r="R21" s="30">
        <f>IF(A21&gt;$B$5+$B$6+$B$7,0,Q21-P21*R22)</f>
        <v/>
      </c>
      <c r="S21" s="29">
        <f>IF(A21&gt;$B$5+$B$6+$B$7,0,IF(A21&lt;=$B$6,$H$8*$B$9^$I$8,IF(A21&lt;=$B$6+$B$7,$H$8*$B$10^$I$8,$H$8*$B$11^$I$8)))</f>
        <v/>
      </c>
      <c r="T21" s="29">
        <f>IF(A21&gt;$B$5+$B$6+$B$7,0,IF(A21=1,0,$B$14))</f>
        <v/>
      </c>
      <c r="U21" s="29">
        <f>IF(A21&gt;$B$5+$B$6+$B$7,0,IF(A21&gt;$B$6+$B$7,-$B$14-$B$13/S21,IF(A21&gt;$B$6,-$B$14-$B$13*$B$15/S21,-$B$14-($B$13*$B$15+$B$12)/S21)))</f>
        <v/>
      </c>
      <c r="V21" s="29">
        <f>IF(A21&gt;$B$5+$B$6+$B$7,0,IF(A21+1&gt;$B$5+$B$6+$B$7,0,IF(A21&gt;$B$6+$B$7,$B$13/S22,IF(A21&gt;=$B$6,$B$13*$B$15/S22,($B$13*$B$15+$B$12)/S22))))</f>
        <v/>
      </c>
      <c r="W21" s="29">
        <f>IF(A21&gt;$B$5+$B$6+$B$7,0,IF(A21=$B$6,-$M$8*$B$12,0))</f>
        <v/>
      </c>
      <c r="X21" s="29">
        <f>IF(A21&gt;$B$5+$B$6+$B$7,0,V21/(U21-T21*X20))</f>
        <v/>
      </c>
      <c r="Y21" s="29">
        <f>IF(A21&gt;$B$5+$B$6+$B$7,0,(W21-T21*Y20)/(U21-T21*X20))</f>
        <v/>
      </c>
      <c r="Z21" s="30">
        <f>IF(A21&gt;$B$5+$B$6+$B$7,0,Y21-X21*Z22)</f>
        <v/>
      </c>
      <c r="AA21" s="29">
        <f>IF(A21&gt;$B$5+$B$6+$B$7,0,IF(A21&lt;=$B$6,$H$9*$B$9^$I$9,IF(A21&lt;=$B$6+$B$7,$H$9*$B$10^$I$9,$H$9*$B$11^$I$9)))</f>
        <v/>
      </c>
      <c r="AB21" s="29">
        <f>IF(A21&gt;$B$5+$B$6+$B$7,0,IF(A21=1,0,$B$14))</f>
        <v/>
      </c>
      <c r="AC21" s="29">
        <f>IF(A21&gt;$B$5+$B$6+$B$7,0,IF(A21&gt;$B$6+$B$7,-$B$14-$B$13/AA21,IF(A21&gt;$B$6,-$B$14-$B$13*$B$15/AA21,-$B$14-($B$13*$B$15+$B$12)/AA21)))</f>
        <v/>
      </c>
      <c r="AD21" s="29">
        <f>IF(A21&gt;$B$5+$B$6+$B$7,0,IF(A21+1&gt;$B$5+$B$6+$B$7,0,IF(A21&gt;$B$6+$B$7,$B$13/AA22,IF(A21&gt;=$B$6,$B$13*$B$15/AA22,($B$13*$B$15+$B$12)/AA22))))</f>
        <v/>
      </c>
      <c r="AE21" s="29">
        <f>IF(A21&gt;$B$5+$B$6+$B$7,0,IF(A21=$B$6,-$M$9*$B$12,0))</f>
        <v/>
      </c>
      <c r="AF21" s="29">
        <f>IF(A21&gt;$B$5+$B$6+$B$7,0,AD21/(AC21-AB21*AF20))</f>
        <v/>
      </c>
      <c r="AG21" s="29">
        <f>IF(A21&gt;$B$5+$B$6+$B$7,0,(AE21-AB21*AG20)/(AC21-AB21*AF20))</f>
        <v/>
      </c>
      <c r="AH21" s="30">
        <f>IF(A21&gt;$B$5+$B$6+$B$7,0,AG21-AF21*AH22)</f>
        <v/>
      </c>
      <c r="AI21" s="31">
        <f>IF(A21&gt;$B$5+$B$6+$B$7,0,IF(C21&lt;&gt;0,J21/C21,0))</f>
        <v/>
      </c>
      <c r="AJ21" s="31">
        <f>IF(A21&gt;$B$5+$B$6+$B$7,0,IF(K21&lt;&gt;0,R21/K21,0))</f>
        <v/>
      </c>
      <c r="AK21" s="31">
        <f>IF(A21&gt;$B$5+$B$6+$B$7,0,IF(S21&lt;&gt;0,Z21/S21,0))</f>
        <v/>
      </c>
      <c r="AL21" s="31">
        <f>IF(A21&gt;$B$5+$B$6+$B$7,0,IF(AA21&lt;&gt;0,AH21/AA21,0))</f>
        <v/>
      </c>
      <c r="AM21" s="30">
        <f>J21+R21+Z21+AH21</f>
        <v/>
      </c>
      <c r="AN21" s="30">
        <f>AI21+AJ21+AK21+AL21</f>
        <v/>
      </c>
    </row>
    <row r="22">
      <c r="A22" s="27" t="n">
        <v>3</v>
      </c>
      <c r="B22" s="28">
        <f>IF(A22&gt;$B$5+$B$6+$B$7,"—",IF(A22&lt;=$B$6,"Extraction",IF(A22&lt;=$B$6+$B$7,"Scrub","Strip")))</f>
        <v/>
      </c>
      <c r="C22" s="29">
        <f>IF(A22&gt;$B$5+$B$6+$B$7,0,IF(A22&lt;=$B$6,$H$6*$B$9^$I$6,IF(A22&lt;=$B$6+$B$7,$H$6*$B$10^$I$6,$H$6*$B$11^$I$6)))</f>
        <v/>
      </c>
      <c r="D22" s="29">
        <f>IF(A22&gt;$B$5+$B$6+$B$7,0,IF(A22=1,0,$B$14))</f>
        <v/>
      </c>
      <c r="E22" s="29">
        <f>IF(A22&gt;$B$5+$B$6+$B$7,0,IF(A22&gt;$B$6+$B$7,-$B$14-$B$13/C22,IF(A22&gt;$B$6,-$B$14-$B$13*$B$15/C22,-$B$14-($B$13*$B$15+$B$12)/C22)))</f>
        <v/>
      </c>
      <c r="F22" s="29">
        <f>IF(A22&gt;$B$5+$B$6+$B$7,0,IF(A22+1&gt;$B$5+$B$6+$B$7,0,IF(A22&gt;$B$6+$B$7,$B$13/C23,IF(A22&gt;=$B$6,$B$13*$B$15/C23,($B$13*$B$15+$B$12)/C23))))</f>
        <v/>
      </c>
      <c r="G22" s="29">
        <f>IF(A22&gt;$B$5+$B$6+$B$7,0,IF(A22=$B$6,-$M$6*$B$12,0))</f>
        <v/>
      </c>
      <c r="H22" s="29">
        <f>IF(A22&gt;$B$5+$B$6+$B$7,0,F22/(E22-D22*H21))</f>
        <v/>
      </c>
      <c r="I22" s="29">
        <f>IF(A22&gt;$B$5+$B$6+$B$7,0,(G22-D22*I21)/(E22-D22*H21))</f>
        <v/>
      </c>
      <c r="J22" s="30">
        <f>IF(A22&gt;$B$5+$B$6+$B$7,0,I22-H22*J23)</f>
        <v/>
      </c>
      <c r="K22" s="29">
        <f>IF(A22&gt;$B$5+$B$6+$B$7,0,IF(A22&lt;=$B$6,$H$7*$B$9^$I$7,IF(A22&lt;=$B$6+$B$7,$H$7*$B$10^$I$7,$H$7*$B$11^$I$7)))</f>
        <v/>
      </c>
      <c r="L22" s="29">
        <f>IF(A22&gt;$B$5+$B$6+$B$7,0,IF(A22=1,0,$B$14))</f>
        <v/>
      </c>
      <c r="M22" s="29">
        <f>IF(A22&gt;$B$5+$B$6+$B$7,0,IF(A22&gt;$B$6+$B$7,-$B$14-$B$13/K22,IF(A22&gt;$B$6,-$B$14-$B$13*$B$15/K22,-$B$14-($B$13*$B$15+$B$12)/K22)))</f>
        <v/>
      </c>
      <c r="N22" s="29">
        <f>IF(A22&gt;$B$5+$B$6+$B$7,0,IF(A22+1&gt;$B$5+$B$6+$B$7,0,IF(A22&gt;$B$6+$B$7,$B$13/K23,IF(A22&gt;=$B$6,$B$13*$B$15/K23,($B$13*$B$15+$B$12)/K23))))</f>
        <v/>
      </c>
      <c r="O22" s="29">
        <f>IF(A22&gt;$B$5+$B$6+$B$7,0,IF(A22=$B$6,-$M$7*$B$12,0))</f>
        <v/>
      </c>
      <c r="P22" s="29">
        <f>IF(A22&gt;$B$5+$B$6+$B$7,0,N22/(M22-L22*P21))</f>
        <v/>
      </c>
      <c r="Q22" s="29">
        <f>IF(A22&gt;$B$5+$B$6+$B$7,0,(O22-L22*Q21)/(M22-L22*P21))</f>
        <v/>
      </c>
      <c r="R22" s="30">
        <f>IF(A22&gt;$B$5+$B$6+$B$7,0,Q22-P22*R23)</f>
        <v/>
      </c>
      <c r="S22" s="29">
        <f>IF(A22&gt;$B$5+$B$6+$B$7,0,IF(A22&lt;=$B$6,$H$8*$B$9^$I$8,IF(A22&lt;=$B$6+$B$7,$H$8*$B$10^$I$8,$H$8*$B$11^$I$8)))</f>
        <v/>
      </c>
      <c r="T22" s="29">
        <f>IF(A22&gt;$B$5+$B$6+$B$7,0,IF(A22=1,0,$B$14))</f>
        <v/>
      </c>
      <c r="U22" s="29">
        <f>IF(A22&gt;$B$5+$B$6+$B$7,0,IF(A22&gt;$B$6+$B$7,-$B$14-$B$13/S22,IF(A22&gt;$B$6,-$B$14-$B$13*$B$15/S22,-$B$14-($B$13*$B$15+$B$12)/S22)))</f>
        <v/>
      </c>
      <c r="V22" s="29">
        <f>IF(A22&gt;$B$5+$B$6+$B$7,0,IF(A22+1&gt;$B$5+$B$6+$B$7,0,IF(A22&gt;$B$6+$B$7,$B$13/S23,IF(A22&gt;=$B$6,$B$13*$B$15/S23,($B$13*$B$15+$B$12)/S23))))</f>
        <v/>
      </c>
      <c r="W22" s="29">
        <f>IF(A22&gt;$B$5+$B$6+$B$7,0,IF(A22=$B$6,-$M$8*$B$12,0))</f>
        <v/>
      </c>
      <c r="X22" s="29">
        <f>IF(A22&gt;$B$5+$B$6+$B$7,0,V22/(U22-T22*X21))</f>
        <v/>
      </c>
      <c r="Y22" s="29">
        <f>IF(A22&gt;$B$5+$B$6+$B$7,0,(W22-T22*Y21)/(U22-T22*X21))</f>
        <v/>
      </c>
      <c r="Z22" s="30">
        <f>IF(A22&gt;$B$5+$B$6+$B$7,0,Y22-X22*Z23)</f>
        <v/>
      </c>
      <c r="AA22" s="29">
        <f>IF(A22&gt;$B$5+$B$6+$B$7,0,IF(A22&lt;=$B$6,$H$9*$B$9^$I$9,IF(A22&lt;=$B$6+$B$7,$H$9*$B$10^$I$9,$H$9*$B$11^$I$9)))</f>
        <v/>
      </c>
      <c r="AB22" s="29">
        <f>IF(A22&gt;$B$5+$B$6+$B$7,0,IF(A22=1,0,$B$14))</f>
        <v/>
      </c>
      <c r="AC22" s="29">
        <f>IF(A22&gt;$B$5+$B$6+$B$7,0,IF(A22&gt;$B$6+$B$7,-$B$14-$B$13/AA22,IF(A22&gt;$B$6,-$B$14-$B$13*$B$15/AA22,-$B$14-($B$13*$B$15+$B$12)/AA22)))</f>
        <v/>
      </c>
      <c r="AD22" s="29">
        <f>IF(A22&gt;$B$5+$B$6+$B$7,0,IF(A22+1&gt;$B$5+$B$6+$B$7,0,IF(A22&gt;$B$6+$B$7,$B$13/AA23,IF(A22&gt;=$B$6,$B$13*$B$15/AA23,($B$13*$B$15+$B$12)/AA23))))</f>
        <v/>
      </c>
      <c r="AE22" s="29">
        <f>IF(A22&gt;$B$5+$B$6+$B$7,0,IF(A22=$B$6,-$M$9*$B$12,0))</f>
        <v/>
      </c>
      <c r="AF22" s="29">
        <f>IF(A22&gt;$B$5+$B$6+$B$7,0,AD22/(AC22-AB22*AF21))</f>
        <v/>
      </c>
      <c r="AG22" s="29">
        <f>IF(A22&gt;$B$5+$B$6+$B$7,0,(AE22-AB22*AG21)/(AC22-AB22*AF21))</f>
        <v/>
      </c>
      <c r="AH22" s="30">
        <f>IF(A22&gt;$B$5+$B$6+$B$7,0,AG22-AF22*AH23)</f>
        <v/>
      </c>
      <c r="AI22" s="31">
        <f>IF(A22&gt;$B$5+$B$6+$B$7,0,IF(C22&lt;&gt;0,J22/C22,0))</f>
        <v/>
      </c>
      <c r="AJ22" s="31">
        <f>IF(A22&gt;$B$5+$B$6+$B$7,0,IF(K22&lt;&gt;0,R22/K22,0))</f>
        <v/>
      </c>
      <c r="AK22" s="31">
        <f>IF(A22&gt;$B$5+$B$6+$B$7,0,IF(S22&lt;&gt;0,Z22/S22,0))</f>
        <v/>
      </c>
      <c r="AL22" s="31">
        <f>IF(A22&gt;$B$5+$B$6+$B$7,0,IF(AA22&lt;&gt;0,AH22/AA22,0))</f>
        <v/>
      </c>
      <c r="AM22" s="30">
        <f>J22+R22+Z22+AH22</f>
        <v/>
      </c>
      <c r="AN22" s="30">
        <f>AI22+AJ22+AK22+AL22</f>
        <v/>
      </c>
    </row>
    <row r="23">
      <c r="A23" s="27" t="n">
        <v>4</v>
      </c>
      <c r="B23" s="28">
        <f>IF(A23&gt;$B$5+$B$6+$B$7,"—",IF(A23&lt;=$B$6,"Extraction",IF(A23&lt;=$B$6+$B$7,"Scrub","Strip")))</f>
        <v/>
      </c>
      <c r="C23" s="29">
        <f>IF(A23&gt;$B$5+$B$6+$B$7,0,IF(A23&lt;=$B$6,$H$6*$B$9^$I$6,IF(A23&lt;=$B$6+$B$7,$H$6*$B$10^$I$6,$H$6*$B$11^$I$6)))</f>
        <v/>
      </c>
      <c r="D23" s="29">
        <f>IF(A23&gt;$B$5+$B$6+$B$7,0,IF(A23=1,0,$B$14))</f>
        <v/>
      </c>
      <c r="E23" s="29">
        <f>IF(A23&gt;$B$5+$B$6+$B$7,0,IF(A23&gt;$B$6+$B$7,-$B$14-$B$13/C23,IF(A23&gt;$B$6,-$B$14-$B$13*$B$15/C23,-$B$14-($B$13*$B$15+$B$12)/C23)))</f>
        <v/>
      </c>
      <c r="F23" s="29">
        <f>IF(A23&gt;$B$5+$B$6+$B$7,0,IF(A23+1&gt;$B$5+$B$6+$B$7,0,IF(A23&gt;$B$6+$B$7,$B$13/C24,IF(A23&gt;=$B$6,$B$13*$B$15/C24,($B$13*$B$15+$B$12)/C24))))</f>
        <v/>
      </c>
      <c r="G23" s="29">
        <f>IF(A23&gt;$B$5+$B$6+$B$7,0,IF(A23=$B$6,-$M$6*$B$12,0))</f>
        <v/>
      </c>
      <c r="H23" s="29">
        <f>IF(A23&gt;$B$5+$B$6+$B$7,0,F23/(E23-D23*H22))</f>
        <v/>
      </c>
      <c r="I23" s="29">
        <f>IF(A23&gt;$B$5+$B$6+$B$7,0,(G23-D23*I22)/(E23-D23*H22))</f>
        <v/>
      </c>
      <c r="J23" s="30">
        <f>IF(A23&gt;$B$5+$B$6+$B$7,0,I23-H23*J24)</f>
        <v/>
      </c>
      <c r="K23" s="29">
        <f>IF(A23&gt;$B$5+$B$6+$B$7,0,IF(A23&lt;=$B$6,$H$7*$B$9^$I$7,IF(A23&lt;=$B$6+$B$7,$H$7*$B$10^$I$7,$H$7*$B$11^$I$7)))</f>
        <v/>
      </c>
      <c r="L23" s="29">
        <f>IF(A23&gt;$B$5+$B$6+$B$7,0,IF(A23=1,0,$B$14))</f>
        <v/>
      </c>
      <c r="M23" s="29">
        <f>IF(A23&gt;$B$5+$B$6+$B$7,0,IF(A23&gt;$B$6+$B$7,-$B$14-$B$13/K23,IF(A23&gt;$B$6,-$B$14-$B$13*$B$15/K23,-$B$14-($B$13*$B$15+$B$12)/K23)))</f>
        <v/>
      </c>
      <c r="N23" s="29">
        <f>IF(A23&gt;$B$5+$B$6+$B$7,0,IF(A23+1&gt;$B$5+$B$6+$B$7,0,IF(A23&gt;$B$6+$B$7,$B$13/K24,IF(A23&gt;=$B$6,$B$13*$B$15/K24,($B$13*$B$15+$B$12)/K24))))</f>
        <v/>
      </c>
      <c r="O23" s="29">
        <f>IF(A23&gt;$B$5+$B$6+$B$7,0,IF(A23=$B$6,-$M$7*$B$12,0))</f>
        <v/>
      </c>
      <c r="P23" s="29">
        <f>IF(A23&gt;$B$5+$B$6+$B$7,0,N23/(M23-L23*P22))</f>
        <v/>
      </c>
      <c r="Q23" s="29">
        <f>IF(A23&gt;$B$5+$B$6+$B$7,0,(O23-L23*Q22)/(M23-L23*P22))</f>
        <v/>
      </c>
      <c r="R23" s="30">
        <f>IF(A23&gt;$B$5+$B$6+$B$7,0,Q23-P23*R24)</f>
        <v/>
      </c>
      <c r="S23" s="29">
        <f>IF(A23&gt;$B$5+$B$6+$B$7,0,IF(A23&lt;=$B$6,$H$8*$B$9^$I$8,IF(A23&lt;=$B$6+$B$7,$H$8*$B$10^$I$8,$H$8*$B$11^$I$8)))</f>
        <v/>
      </c>
      <c r="T23" s="29">
        <f>IF(A23&gt;$B$5+$B$6+$B$7,0,IF(A23=1,0,$B$14))</f>
        <v/>
      </c>
      <c r="U23" s="29">
        <f>IF(A23&gt;$B$5+$B$6+$B$7,0,IF(A23&gt;$B$6+$B$7,-$B$14-$B$13/S23,IF(A23&gt;$B$6,-$B$14-$B$13*$B$15/S23,-$B$14-($B$13*$B$15+$B$12)/S23)))</f>
        <v/>
      </c>
      <c r="V23" s="29">
        <f>IF(A23&gt;$B$5+$B$6+$B$7,0,IF(A23+1&gt;$B$5+$B$6+$B$7,0,IF(A23&gt;$B$6+$B$7,$B$13/S24,IF(A23&gt;=$B$6,$B$13*$B$15/S24,($B$13*$B$15+$B$12)/S24))))</f>
        <v/>
      </c>
      <c r="W23" s="29">
        <f>IF(A23&gt;$B$5+$B$6+$B$7,0,IF(A23=$B$6,-$M$8*$B$12,0))</f>
        <v/>
      </c>
      <c r="X23" s="29">
        <f>IF(A23&gt;$B$5+$B$6+$B$7,0,V23/(U23-T23*X22))</f>
        <v/>
      </c>
      <c r="Y23" s="29">
        <f>IF(A23&gt;$B$5+$B$6+$B$7,0,(W23-T23*Y22)/(U23-T23*X22))</f>
        <v/>
      </c>
      <c r="Z23" s="30">
        <f>IF(A23&gt;$B$5+$B$6+$B$7,0,Y23-X23*Z24)</f>
        <v/>
      </c>
      <c r="AA23" s="29">
        <f>IF(A23&gt;$B$5+$B$6+$B$7,0,IF(A23&lt;=$B$6,$H$9*$B$9^$I$9,IF(A23&lt;=$B$6+$B$7,$H$9*$B$10^$I$9,$H$9*$B$11^$I$9)))</f>
        <v/>
      </c>
      <c r="AB23" s="29">
        <f>IF(A23&gt;$B$5+$B$6+$B$7,0,IF(A23=1,0,$B$14))</f>
        <v/>
      </c>
      <c r="AC23" s="29">
        <f>IF(A23&gt;$B$5+$B$6+$B$7,0,IF(A23&gt;$B$6+$B$7,-$B$14-$B$13/AA23,IF(A23&gt;$B$6,-$B$14-$B$13*$B$15/AA23,-$B$14-($B$13*$B$15+$B$12)/AA23)))</f>
        <v/>
      </c>
      <c r="AD23" s="29">
        <f>IF(A23&gt;$B$5+$B$6+$B$7,0,IF(A23+1&gt;$B$5+$B$6+$B$7,0,IF(A23&gt;$B$6+$B$7,$B$13/AA24,IF(A23&gt;=$B$6,$B$13*$B$15/AA24,($B$13*$B$15+$B$12)/AA24))))</f>
        <v/>
      </c>
      <c r="AE23" s="29">
        <f>IF(A23&gt;$B$5+$B$6+$B$7,0,IF(A23=$B$6,-$M$9*$B$12,0))</f>
        <v/>
      </c>
      <c r="AF23" s="29">
        <f>IF(A23&gt;$B$5+$B$6+$B$7,0,AD23/(AC23-AB23*AF22))</f>
        <v/>
      </c>
      <c r="AG23" s="29">
        <f>IF(A23&gt;$B$5+$B$6+$B$7,0,(AE23-AB23*AG22)/(AC23-AB23*AF22))</f>
        <v/>
      </c>
      <c r="AH23" s="30">
        <f>IF(A23&gt;$B$5+$B$6+$B$7,0,AG23-AF23*AH24)</f>
        <v/>
      </c>
      <c r="AI23" s="31">
        <f>IF(A23&gt;$B$5+$B$6+$B$7,0,IF(C23&lt;&gt;0,J23/C23,0))</f>
        <v/>
      </c>
      <c r="AJ23" s="31">
        <f>IF(A23&gt;$B$5+$B$6+$B$7,0,IF(K23&lt;&gt;0,R23/K23,0))</f>
        <v/>
      </c>
      <c r="AK23" s="31">
        <f>IF(A23&gt;$B$5+$B$6+$B$7,0,IF(S23&lt;&gt;0,Z23/S23,0))</f>
        <v/>
      </c>
      <c r="AL23" s="31">
        <f>IF(A23&gt;$B$5+$B$6+$B$7,0,IF(AA23&lt;&gt;0,AH23/AA23,0))</f>
        <v/>
      </c>
      <c r="AM23" s="30">
        <f>J23+R23+Z23+AH23</f>
        <v/>
      </c>
      <c r="AN23" s="30">
        <f>AI23+AJ23+AK23+AL23</f>
        <v/>
      </c>
    </row>
    <row r="24">
      <c r="A24" s="27" t="n">
        <v>5</v>
      </c>
      <c r="B24" s="28">
        <f>IF(A24&gt;$B$5+$B$6+$B$7,"—",IF(A24&lt;=$B$6,"Extraction",IF(A24&lt;=$B$6+$B$7,"Scrub","Strip")))</f>
        <v/>
      </c>
      <c r="C24" s="29">
        <f>IF(A24&gt;$B$5+$B$6+$B$7,0,IF(A24&lt;=$B$6,$H$6*$B$9^$I$6,IF(A24&lt;=$B$6+$B$7,$H$6*$B$10^$I$6,$H$6*$B$11^$I$6)))</f>
        <v/>
      </c>
      <c r="D24" s="29">
        <f>IF(A24&gt;$B$5+$B$6+$B$7,0,IF(A24=1,0,$B$14))</f>
        <v/>
      </c>
      <c r="E24" s="29">
        <f>IF(A24&gt;$B$5+$B$6+$B$7,0,IF(A24&gt;$B$6+$B$7,-$B$14-$B$13/C24,IF(A24&gt;$B$6,-$B$14-$B$13*$B$15/C24,-$B$14-($B$13*$B$15+$B$12)/C24)))</f>
        <v/>
      </c>
      <c r="F24" s="29">
        <f>IF(A24&gt;$B$5+$B$6+$B$7,0,IF(A24+1&gt;$B$5+$B$6+$B$7,0,IF(A24&gt;$B$6+$B$7,$B$13/C25,IF(A24&gt;=$B$6,$B$13*$B$15/C25,($B$13*$B$15+$B$12)/C25))))</f>
        <v/>
      </c>
      <c r="G24" s="29">
        <f>IF(A24&gt;$B$5+$B$6+$B$7,0,IF(A24=$B$6,-$M$6*$B$12,0))</f>
        <v/>
      </c>
      <c r="H24" s="29">
        <f>IF(A24&gt;$B$5+$B$6+$B$7,0,F24/(E24-D24*H23))</f>
        <v/>
      </c>
      <c r="I24" s="29">
        <f>IF(A24&gt;$B$5+$B$6+$B$7,0,(G24-D24*I23)/(E24-D24*H23))</f>
        <v/>
      </c>
      <c r="J24" s="30">
        <f>IF(A24&gt;$B$5+$B$6+$B$7,0,I24-H24*J25)</f>
        <v/>
      </c>
      <c r="K24" s="29">
        <f>IF(A24&gt;$B$5+$B$6+$B$7,0,IF(A24&lt;=$B$6,$H$7*$B$9^$I$7,IF(A24&lt;=$B$6+$B$7,$H$7*$B$10^$I$7,$H$7*$B$11^$I$7)))</f>
        <v/>
      </c>
      <c r="L24" s="29">
        <f>IF(A24&gt;$B$5+$B$6+$B$7,0,IF(A24=1,0,$B$14))</f>
        <v/>
      </c>
      <c r="M24" s="29">
        <f>IF(A24&gt;$B$5+$B$6+$B$7,0,IF(A24&gt;$B$6+$B$7,-$B$14-$B$13/K24,IF(A24&gt;$B$6,-$B$14-$B$13*$B$15/K24,-$B$14-($B$13*$B$15+$B$12)/K24)))</f>
        <v/>
      </c>
      <c r="N24" s="29">
        <f>IF(A24&gt;$B$5+$B$6+$B$7,0,IF(A24+1&gt;$B$5+$B$6+$B$7,0,IF(A24&gt;$B$6+$B$7,$B$13/K25,IF(A24&gt;=$B$6,$B$13*$B$15/K25,($B$13*$B$15+$B$12)/K25))))</f>
        <v/>
      </c>
      <c r="O24" s="29">
        <f>IF(A24&gt;$B$5+$B$6+$B$7,0,IF(A24=$B$6,-$M$7*$B$12,0))</f>
        <v/>
      </c>
      <c r="P24" s="29">
        <f>IF(A24&gt;$B$5+$B$6+$B$7,0,N24/(M24-L24*P23))</f>
        <v/>
      </c>
      <c r="Q24" s="29">
        <f>IF(A24&gt;$B$5+$B$6+$B$7,0,(O24-L24*Q23)/(M24-L24*P23))</f>
        <v/>
      </c>
      <c r="R24" s="30">
        <f>IF(A24&gt;$B$5+$B$6+$B$7,0,Q24-P24*R25)</f>
        <v/>
      </c>
      <c r="S24" s="29">
        <f>IF(A24&gt;$B$5+$B$6+$B$7,0,IF(A24&lt;=$B$6,$H$8*$B$9^$I$8,IF(A24&lt;=$B$6+$B$7,$H$8*$B$10^$I$8,$H$8*$B$11^$I$8)))</f>
        <v/>
      </c>
      <c r="T24" s="29">
        <f>IF(A24&gt;$B$5+$B$6+$B$7,0,IF(A24=1,0,$B$14))</f>
        <v/>
      </c>
      <c r="U24" s="29">
        <f>IF(A24&gt;$B$5+$B$6+$B$7,0,IF(A24&gt;$B$6+$B$7,-$B$14-$B$13/S24,IF(A24&gt;$B$6,-$B$14-$B$13*$B$15/S24,-$B$14-($B$13*$B$15+$B$12)/S24)))</f>
        <v/>
      </c>
      <c r="V24" s="29">
        <f>IF(A24&gt;$B$5+$B$6+$B$7,0,IF(A24+1&gt;$B$5+$B$6+$B$7,0,IF(A24&gt;$B$6+$B$7,$B$13/S25,IF(A24&gt;=$B$6,$B$13*$B$15/S25,($B$13*$B$15+$B$12)/S25))))</f>
        <v/>
      </c>
      <c r="W24" s="29">
        <f>IF(A24&gt;$B$5+$B$6+$B$7,0,IF(A24=$B$6,-$M$8*$B$12,0))</f>
        <v/>
      </c>
      <c r="X24" s="29">
        <f>IF(A24&gt;$B$5+$B$6+$B$7,0,V24/(U24-T24*X23))</f>
        <v/>
      </c>
      <c r="Y24" s="29">
        <f>IF(A24&gt;$B$5+$B$6+$B$7,0,(W24-T24*Y23)/(U24-T24*X23))</f>
        <v/>
      </c>
      <c r="Z24" s="30">
        <f>IF(A24&gt;$B$5+$B$6+$B$7,0,Y24-X24*Z25)</f>
        <v/>
      </c>
      <c r="AA24" s="29">
        <f>IF(A24&gt;$B$5+$B$6+$B$7,0,IF(A24&lt;=$B$6,$H$9*$B$9^$I$9,IF(A24&lt;=$B$6+$B$7,$H$9*$B$10^$I$9,$H$9*$B$11^$I$9)))</f>
        <v/>
      </c>
      <c r="AB24" s="29">
        <f>IF(A24&gt;$B$5+$B$6+$B$7,0,IF(A24=1,0,$B$14))</f>
        <v/>
      </c>
      <c r="AC24" s="29">
        <f>IF(A24&gt;$B$5+$B$6+$B$7,0,IF(A24&gt;$B$6+$B$7,-$B$14-$B$13/AA24,IF(A24&gt;$B$6,-$B$14-$B$13*$B$15/AA24,-$B$14-($B$13*$B$15+$B$12)/AA24)))</f>
        <v/>
      </c>
      <c r="AD24" s="29">
        <f>IF(A24&gt;$B$5+$B$6+$B$7,0,IF(A24+1&gt;$B$5+$B$6+$B$7,0,IF(A24&gt;$B$6+$B$7,$B$13/AA25,IF(A24&gt;=$B$6,$B$13*$B$15/AA25,($B$13*$B$15+$B$12)/AA25))))</f>
        <v/>
      </c>
      <c r="AE24" s="29">
        <f>IF(A24&gt;$B$5+$B$6+$B$7,0,IF(A24=$B$6,-$M$9*$B$12,0))</f>
        <v/>
      </c>
      <c r="AF24" s="29">
        <f>IF(A24&gt;$B$5+$B$6+$B$7,0,AD24/(AC24-AB24*AF23))</f>
        <v/>
      </c>
      <c r="AG24" s="29">
        <f>IF(A24&gt;$B$5+$B$6+$B$7,0,(AE24-AB24*AG23)/(AC24-AB24*AF23))</f>
        <v/>
      </c>
      <c r="AH24" s="30">
        <f>IF(A24&gt;$B$5+$B$6+$B$7,0,AG24-AF24*AH25)</f>
        <v/>
      </c>
      <c r="AI24" s="31">
        <f>IF(A24&gt;$B$5+$B$6+$B$7,0,IF(C24&lt;&gt;0,J24/C24,0))</f>
        <v/>
      </c>
      <c r="AJ24" s="31">
        <f>IF(A24&gt;$B$5+$B$6+$B$7,0,IF(K24&lt;&gt;0,R24/K24,0))</f>
        <v/>
      </c>
      <c r="AK24" s="31">
        <f>IF(A24&gt;$B$5+$B$6+$B$7,0,IF(S24&lt;&gt;0,Z24/S24,0))</f>
        <v/>
      </c>
      <c r="AL24" s="31">
        <f>IF(A24&gt;$B$5+$B$6+$B$7,0,IF(AA24&lt;&gt;0,AH24/AA24,0))</f>
        <v/>
      </c>
      <c r="AM24" s="30">
        <f>J24+R24+Z24+AH24</f>
        <v/>
      </c>
      <c r="AN24" s="30">
        <f>AI24+AJ24+AK24+AL24</f>
        <v/>
      </c>
    </row>
    <row r="25">
      <c r="A25" s="27" t="n">
        <v>6</v>
      </c>
      <c r="B25" s="28">
        <f>IF(A25&gt;$B$5+$B$6+$B$7,"—",IF(A25&lt;=$B$6,"Extraction",IF(A25&lt;=$B$6+$B$7,"Scrub","Strip")))</f>
        <v/>
      </c>
      <c r="C25" s="29">
        <f>IF(A25&gt;$B$5+$B$6+$B$7,0,IF(A25&lt;=$B$6,$H$6*$B$9^$I$6,IF(A25&lt;=$B$6+$B$7,$H$6*$B$10^$I$6,$H$6*$B$11^$I$6)))</f>
        <v/>
      </c>
      <c r="D25" s="29">
        <f>IF(A25&gt;$B$5+$B$6+$B$7,0,IF(A25=1,0,$B$14))</f>
        <v/>
      </c>
      <c r="E25" s="29">
        <f>IF(A25&gt;$B$5+$B$6+$B$7,0,IF(A25&gt;$B$6+$B$7,-$B$14-$B$13/C25,IF(A25&gt;$B$6,-$B$14-$B$13*$B$15/C25,-$B$14-($B$13*$B$15+$B$12)/C25)))</f>
        <v/>
      </c>
      <c r="F25" s="29">
        <f>IF(A25&gt;$B$5+$B$6+$B$7,0,IF(A25+1&gt;$B$5+$B$6+$B$7,0,IF(A25&gt;$B$6+$B$7,$B$13/C26,IF(A25&gt;=$B$6,$B$13*$B$15/C26,($B$13*$B$15+$B$12)/C26))))</f>
        <v/>
      </c>
      <c r="G25" s="29">
        <f>IF(A25&gt;$B$5+$B$6+$B$7,0,IF(A25=$B$6,-$M$6*$B$12,0))</f>
        <v/>
      </c>
      <c r="H25" s="29">
        <f>IF(A25&gt;$B$5+$B$6+$B$7,0,F25/(E25-D25*H24))</f>
        <v/>
      </c>
      <c r="I25" s="29">
        <f>IF(A25&gt;$B$5+$B$6+$B$7,0,(G25-D25*I24)/(E25-D25*H24))</f>
        <v/>
      </c>
      <c r="J25" s="30">
        <f>IF(A25&gt;$B$5+$B$6+$B$7,0,I25-H25*J26)</f>
        <v/>
      </c>
      <c r="K25" s="29">
        <f>IF(A25&gt;$B$5+$B$6+$B$7,0,IF(A25&lt;=$B$6,$H$7*$B$9^$I$7,IF(A25&lt;=$B$6+$B$7,$H$7*$B$10^$I$7,$H$7*$B$11^$I$7)))</f>
        <v/>
      </c>
      <c r="L25" s="29">
        <f>IF(A25&gt;$B$5+$B$6+$B$7,0,IF(A25=1,0,$B$14))</f>
        <v/>
      </c>
      <c r="M25" s="29">
        <f>IF(A25&gt;$B$5+$B$6+$B$7,0,IF(A25&gt;$B$6+$B$7,-$B$14-$B$13/K25,IF(A25&gt;$B$6,-$B$14-$B$13*$B$15/K25,-$B$14-($B$13*$B$15+$B$12)/K25)))</f>
        <v/>
      </c>
      <c r="N25" s="29">
        <f>IF(A25&gt;$B$5+$B$6+$B$7,0,IF(A25+1&gt;$B$5+$B$6+$B$7,0,IF(A25&gt;$B$6+$B$7,$B$13/K26,IF(A25&gt;=$B$6,$B$13*$B$15/K26,($B$13*$B$15+$B$12)/K26))))</f>
        <v/>
      </c>
      <c r="O25" s="29">
        <f>IF(A25&gt;$B$5+$B$6+$B$7,0,IF(A25=$B$6,-$M$7*$B$12,0))</f>
        <v/>
      </c>
      <c r="P25" s="29">
        <f>IF(A25&gt;$B$5+$B$6+$B$7,0,N25/(M25-L25*P24))</f>
        <v/>
      </c>
      <c r="Q25" s="29">
        <f>IF(A25&gt;$B$5+$B$6+$B$7,0,(O25-L25*Q24)/(M25-L25*P24))</f>
        <v/>
      </c>
      <c r="R25" s="30">
        <f>IF(A25&gt;$B$5+$B$6+$B$7,0,Q25-P25*R26)</f>
        <v/>
      </c>
      <c r="S25" s="29">
        <f>IF(A25&gt;$B$5+$B$6+$B$7,0,IF(A25&lt;=$B$6,$H$8*$B$9^$I$8,IF(A25&lt;=$B$6+$B$7,$H$8*$B$10^$I$8,$H$8*$B$11^$I$8)))</f>
        <v/>
      </c>
      <c r="T25" s="29">
        <f>IF(A25&gt;$B$5+$B$6+$B$7,0,IF(A25=1,0,$B$14))</f>
        <v/>
      </c>
      <c r="U25" s="29">
        <f>IF(A25&gt;$B$5+$B$6+$B$7,0,IF(A25&gt;$B$6+$B$7,-$B$14-$B$13/S25,IF(A25&gt;$B$6,-$B$14-$B$13*$B$15/S25,-$B$14-($B$13*$B$15+$B$12)/S25)))</f>
        <v/>
      </c>
      <c r="V25" s="29">
        <f>IF(A25&gt;$B$5+$B$6+$B$7,0,IF(A25+1&gt;$B$5+$B$6+$B$7,0,IF(A25&gt;$B$6+$B$7,$B$13/S26,IF(A25&gt;=$B$6,$B$13*$B$15/S26,($B$13*$B$15+$B$12)/S26))))</f>
        <v/>
      </c>
      <c r="W25" s="29">
        <f>IF(A25&gt;$B$5+$B$6+$B$7,0,IF(A25=$B$6,-$M$8*$B$12,0))</f>
        <v/>
      </c>
      <c r="X25" s="29">
        <f>IF(A25&gt;$B$5+$B$6+$B$7,0,V25/(U25-T25*X24))</f>
        <v/>
      </c>
      <c r="Y25" s="29">
        <f>IF(A25&gt;$B$5+$B$6+$B$7,0,(W25-T25*Y24)/(U25-T25*X24))</f>
        <v/>
      </c>
      <c r="Z25" s="30">
        <f>IF(A25&gt;$B$5+$B$6+$B$7,0,Y25-X25*Z26)</f>
        <v/>
      </c>
      <c r="AA25" s="29">
        <f>IF(A25&gt;$B$5+$B$6+$B$7,0,IF(A25&lt;=$B$6,$H$9*$B$9^$I$9,IF(A25&lt;=$B$6+$B$7,$H$9*$B$10^$I$9,$H$9*$B$11^$I$9)))</f>
        <v/>
      </c>
      <c r="AB25" s="29">
        <f>IF(A25&gt;$B$5+$B$6+$B$7,0,IF(A25=1,0,$B$14))</f>
        <v/>
      </c>
      <c r="AC25" s="29">
        <f>IF(A25&gt;$B$5+$B$6+$B$7,0,IF(A25&gt;$B$6+$B$7,-$B$14-$B$13/AA25,IF(A25&gt;$B$6,-$B$14-$B$13*$B$15/AA25,-$B$14-($B$13*$B$15+$B$12)/AA25)))</f>
        <v/>
      </c>
      <c r="AD25" s="29">
        <f>IF(A25&gt;$B$5+$B$6+$B$7,0,IF(A25+1&gt;$B$5+$B$6+$B$7,0,IF(A25&gt;$B$6+$B$7,$B$13/AA26,IF(A25&gt;=$B$6,$B$13*$B$15/AA26,($B$13*$B$15+$B$12)/AA26))))</f>
        <v/>
      </c>
      <c r="AE25" s="29">
        <f>IF(A25&gt;$B$5+$B$6+$B$7,0,IF(A25=$B$6,-$M$9*$B$12,0))</f>
        <v/>
      </c>
      <c r="AF25" s="29">
        <f>IF(A25&gt;$B$5+$B$6+$B$7,0,AD25/(AC25-AB25*AF24))</f>
        <v/>
      </c>
      <c r="AG25" s="29">
        <f>IF(A25&gt;$B$5+$B$6+$B$7,0,(AE25-AB25*AG24)/(AC25-AB25*AF24))</f>
        <v/>
      </c>
      <c r="AH25" s="30">
        <f>IF(A25&gt;$B$5+$B$6+$B$7,0,AG25-AF25*AH26)</f>
        <v/>
      </c>
      <c r="AI25" s="31">
        <f>IF(A25&gt;$B$5+$B$6+$B$7,0,IF(C25&lt;&gt;0,J25/C25,0))</f>
        <v/>
      </c>
      <c r="AJ25" s="31">
        <f>IF(A25&gt;$B$5+$B$6+$B$7,0,IF(K25&lt;&gt;0,R25/K25,0))</f>
        <v/>
      </c>
      <c r="AK25" s="31">
        <f>IF(A25&gt;$B$5+$B$6+$B$7,0,IF(S25&lt;&gt;0,Z25/S25,0))</f>
        <v/>
      </c>
      <c r="AL25" s="31">
        <f>IF(A25&gt;$B$5+$B$6+$B$7,0,IF(AA25&lt;&gt;0,AH25/AA25,0))</f>
        <v/>
      </c>
      <c r="AM25" s="30">
        <f>J25+R25+Z25+AH25</f>
        <v/>
      </c>
      <c r="AN25" s="30">
        <f>AI25+AJ25+AK25+AL25</f>
        <v/>
      </c>
    </row>
    <row r="26">
      <c r="A26" s="27" t="n">
        <v>7</v>
      </c>
      <c r="B26" s="28">
        <f>IF(A26&gt;$B$5+$B$6+$B$7,"—",IF(A26&lt;=$B$6,"Extraction",IF(A26&lt;=$B$6+$B$7,"Scrub","Strip")))</f>
        <v/>
      </c>
      <c r="C26" s="29">
        <f>IF(A26&gt;$B$5+$B$6+$B$7,0,IF(A26&lt;=$B$6,$H$6*$B$9^$I$6,IF(A26&lt;=$B$6+$B$7,$H$6*$B$10^$I$6,$H$6*$B$11^$I$6)))</f>
        <v/>
      </c>
      <c r="D26" s="29">
        <f>IF(A26&gt;$B$5+$B$6+$B$7,0,IF(A26=1,0,$B$14))</f>
        <v/>
      </c>
      <c r="E26" s="29">
        <f>IF(A26&gt;$B$5+$B$6+$B$7,0,IF(A26&gt;$B$6+$B$7,-$B$14-$B$13/C26,IF(A26&gt;$B$6,-$B$14-$B$13*$B$15/C26,-$B$14-($B$13*$B$15+$B$12)/C26)))</f>
        <v/>
      </c>
      <c r="F26" s="29">
        <f>IF(A26&gt;$B$5+$B$6+$B$7,0,IF(A26+1&gt;$B$5+$B$6+$B$7,0,IF(A26&gt;$B$6+$B$7,$B$13/C27,IF(A26&gt;=$B$6,$B$13*$B$15/C27,($B$13*$B$15+$B$12)/C27))))</f>
        <v/>
      </c>
      <c r="G26" s="29">
        <f>IF(A26&gt;$B$5+$B$6+$B$7,0,IF(A26=$B$6,-$M$6*$B$12,0))</f>
        <v/>
      </c>
      <c r="H26" s="29">
        <f>IF(A26&gt;$B$5+$B$6+$B$7,0,F26/(E26-D26*H25))</f>
        <v/>
      </c>
      <c r="I26" s="29">
        <f>IF(A26&gt;$B$5+$B$6+$B$7,0,(G26-D26*I25)/(E26-D26*H25))</f>
        <v/>
      </c>
      <c r="J26" s="30">
        <f>IF(A26&gt;$B$5+$B$6+$B$7,0,I26-H26*J27)</f>
        <v/>
      </c>
      <c r="K26" s="29">
        <f>IF(A26&gt;$B$5+$B$6+$B$7,0,IF(A26&lt;=$B$6,$H$7*$B$9^$I$7,IF(A26&lt;=$B$6+$B$7,$H$7*$B$10^$I$7,$H$7*$B$11^$I$7)))</f>
        <v/>
      </c>
      <c r="L26" s="29">
        <f>IF(A26&gt;$B$5+$B$6+$B$7,0,IF(A26=1,0,$B$14))</f>
        <v/>
      </c>
      <c r="M26" s="29">
        <f>IF(A26&gt;$B$5+$B$6+$B$7,0,IF(A26&gt;$B$6+$B$7,-$B$14-$B$13/K26,IF(A26&gt;$B$6,-$B$14-$B$13*$B$15/K26,-$B$14-($B$13*$B$15+$B$12)/K26)))</f>
        <v/>
      </c>
      <c r="N26" s="29">
        <f>IF(A26&gt;$B$5+$B$6+$B$7,0,IF(A26+1&gt;$B$5+$B$6+$B$7,0,IF(A26&gt;$B$6+$B$7,$B$13/K27,IF(A26&gt;=$B$6,$B$13*$B$15/K27,($B$13*$B$15+$B$12)/K27))))</f>
        <v/>
      </c>
      <c r="O26" s="29">
        <f>IF(A26&gt;$B$5+$B$6+$B$7,0,IF(A26=$B$6,-$M$7*$B$12,0))</f>
        <v/>
      </c>
      <c r="P26" s="29">
        <f>IF(A26&gt;$B$5+$B$6+$B$7,0,N26/(M26-L26*P25))</f>
        <v/>
      </c>
      <c r="Q26" s="29">
        <f>IF(A26&gt;$B$5+$B$6+$B$7,0,(O26-L26*Q25)/(M26-L26*P25))</f>
        <v/>
      </c>
      <c r="R26" s="30">
        <f>IF(A26&gt;$B$5+$B$6+$B$7,0,Q26-P26*R27)</f>
        <v/>
      </c>
      <c r="S26" s="29">
        <f>IF(A26&gt;$B$5+$B$6+$B$7,0,IF(A26&lt;=$B$6,$H$8*$B$9^$I$8,IF(A26&lt;=$B$6+$B$7,$H$8*$B$10^$I$8,$H$8*$B$11^$I$8)))</f>
        <v/>
      </c>
      <c r="T26" s="29">
        <f>IF(A26&gt;$B$5+$B$6+$B$7,0,IF(A26=1,0,$B$14))</f>
        <v/>
      </c>
      <c r="U26" s="29">
        <f>IF(A26&gt;$B$5+$B$6+$B$7,0,IF(A26&gt;$B$6+$B$7,-$B$14-$B$13/S26,IF(A26&gt;$B$6,-$B$14-$B$13*$B$15/S26,-$B$14-($B$13*$B$15+$B$12)/S26)))</f>
        <v/>
      </c>
      <c r="V26" s="29">
        <f>IF(A26&gt;$B$5+$B$6+$B$7,0,IF(A26+1&gt;$B$5+$B$6+$B$7,0,IF(A26&gt;$B$6+$B$7,$B$13/S27,IF(A26&gt;=$B$6,$B$13*$B$15/S27,($B$13*$B$15+$B$12)/S27))))</f>
        <v/>
      </c>
      <c r="W26" s="29">
        <f>IF(A26&gt;$B$5+$B$6+$B$7,0,IF(A26=$B$6,-$M$8*$B$12,0))</f>
        <v/>
      </c>
      <c r="X26" s="29">
        <f>IF(A26&gt;$B$5+$B$6+$B$7,0,V26/(U26-T26*X25))</f>
        <v/>
      </c>
      <c r="Y26" s="29">
        <f>IF(A26&gt;$B$5+$B$6+$B$7,0,(W26-T26*Y25)/(U26-T26*X25))</f>
        <v/>
      </c>
      <c r="Z26" s="30">
        <f>IF(A26&gt;$B$5+$B$6+$B$7,0,Y26-X26*Z27)</f>
        <v/>
      </c>
      <c r="AA26" s="29">
        <f>IF(A26&gt;$B$5+$B$6+$B$7,0,IF(A26&lt;=$B$6,$H$9*$B$9^$I$9,IF(A26&lt;=$B$6+$B$7,$H$9*$B$10^$I$9,$H$9*$B$11^$I$9)))</f>
        <v/>
      </c>
      <c r="AB26" s="29">
        <f>IF(A26&gt;$B$5+$B$6+$B$7,0,IF(A26=1,0,$B$14))</f>
        <v/>
      </c>
      <c r="AC26" s="29">
        <f>IF(A26&gt;$B$5+$B$6+$B$7,0,IF(A26&gt;$B$6+$B$7,-$B$14-$B$13/AA26,IF(A26&gt;$B$6,-$B$14-$B$13*$B$15/AA26,-$B$14-($B$13*$B$15+$B$12)/AA26)))</f>
        <v/>
      </c>
      <c r="AD26" s="29">
        <f>IF(A26&gt;$B$5+$B$6+$B$7,0,IF(A26+1&gt;$B$5+$B$6+$B$7,0,IF(A26&gt;$B$6+$B$7,$B$13/AA27,IF(A26&gt;=$B$6,$B$13*$B$15/AA27,($B$13*$B$15+$B$12)/AA27))))</f>
        <v/>
      </c>
      <c r="AE26" s="29">
        <f>IF(A26&gt;$B$5+$B$6+$B$7,0,IF(A26=$B$6,-$M$9*$B$12,0))</f>
        <v/>
      </c>
      <c r="AF26" s="29">
        <f>IF(A26&gt;$B$5+$B$6+$B$7,0,AD26/(AC26-AB26*AF25))</f>
        <v/>
      </c>
      <c r="AG26" s="29">
        <f>IF(A26&gt;$B$5+$B$6+$B$7,0,(AE26-AB26*AG25)/(AC26-AB26*AF25))</f>
        <v/>
      </c>
      <c r="AH26" s="30">
        <f>IF(A26&gt;$B$5+$B$6+$B$7,0,AG26-AF26*AH27)</f>
        <v/>
      </c>
      <c r="AI26" s="31">
        <f>IF(A26&gt;$B$5+$B$6+$B$7,0,IF(C26&lt;&gt;0,J26/C26,0))</f>
        <v/>
      </c>
      <c r="AJ26" s="31">
        <f>IF(A26&gt;$B$5+$B$6+$B$7,0,IF(K26&lt;&gt;0,R26/K26,0))</f>
        <v/>
      </c>
      <c r="AK26" s="31">
        <f>IF(A26&gt;$B$5+$B$6+$B$7,0,IF(S26&lt;&gt;0,Z26/S26,0))</f>
        <v/>
      </c>
      <c r="AL26" s="31">
        <f>IF(A26&gt;$B$5+$B$6+$B$7,0,IF(AA26&lt;&gt;0,AH26/AA26,0))</f>
        <v/>
      </c>
      <c r="AM26" s="30">
        <f>J26+R26+Z26+AH26</f>
        <v/>
      </c>
      <c r="AN26" s="30">
        <f>AI26+AJ26+AK26+AL26</f>
        <v/>
      </c>
    </row>
    <row r="27">
      <c r="A27" s="27" t="n">
        <v>8</v>
      </c>
      <c r="B27" s="28">
        <f>IF(A27&gt;$B$5+$B$6+$B$7,"—",IF(A27&lt;=$B$6,"Extraction",IF(A27&lt;=$B$6+$B$7,"Scrub","Strip")))</f>
        <v/>
      </c>
      <c r="C27" s="29">
        <f>IF(A27&gt;$B$5+$B$6+$B$7,0,IF(A27&lt;=$B$6,$H$6*$B$9^$I$6,IF(A27&lt;=$B$6+$B$7,$H$6*$B$10^$I$6,$H$6*$B$11^$I$6)))</f>
        <v/>
      </c>
      <c r="D27" s="29">
        <f>IF(A27&gt;$B$5+$B$6+$B$7,0,IF(A27=1,0,$B$14))</f>
        <v/>
      </c>
      <c r="E27" s="29">
        <f>IF(A27&gt;$B$5+$B$6+$B$7,0,IF(A27&gt;$B$6+$B$7,-$B$14-$B$13/C27,IF(A27&gt;$B$6,-$B$14-$B$13*$B$15/C27,-$B$14-($B$13*$B$15+$B$12)/C27)))</f>
        <v/>
      </c>
      <c r="F27" s="29">
        <f>IF(A27&gt;$B$5+$B$6+$B$7,0,IF(A27+1&gt;$B$5+$B$6+$B$7,0,IF(A27&gt;$B$6+$B$7,$B$13/C28,IF(A27&gt;=$B$6,$B$13*$B$15/C28,($B$13*$B$15+$B$12)/C28))))</f>
        <v/>
      </c>
      <c r="G27" s="29">
        <f>IF(A27&gt;$B$5+$B$6+$B$7,0,IF(A27=$B$6,-$M$6*$B$12,0))</f>
        <v/>
      </c>
      <c r="H27" s="29">
        <f>IF(A27&gt;$B$5+$B$6+$B$7,0,F27/(E27-D27*H26))</f>
        <v/>
      </c>
      <c r="I27" s="29">
        <f>IF(A27&gt;$B$5+$B$6+$B$7,0,(G27-D27*I26)/(E27-D27*H26))</f>
        <v/>
      </c>
      <c r="J27" s="30">
        <f>IF(A27&gt;$B$5+$B$6+$B$7,0,I27-H27*J28)</f>
        <v/>
      </c>
      <c r="K27" s="29">
        <f>IF(A27&gt;$B$5+$B$6+$B$7,0,IF(A27&lt;=$B$6,$H$7*$B$9^$I$7,IF(A27&lt;=$B$6+$B$7,$H$7*$B$10^$I$7,$H$7*$B$11^$I$7)))</f>
        <v/>
      </c>
      <c r="L27" s="29">
        <f>IF(A27&gt;$B$5+$B$6+$B$7,0,IF(A27=1,0,$B$14))</f>
        <v/>
      </c>
      <c r="M27" s="29">
        <f>IF(A27&gt;$B$5+$B$6+$B$7,0,IF(A27&gt;$B$6+$B$7,-$B$14-$B$13/K27,IF(A27&gt;$B$6,-$B$14-$B$13*$B$15/K27,-$B$14-($B$13*$B$15+$B$12)/K27)))</f>
        <v/>
      </c>
      <c r="N27" s="29">
        <f>IF(A27&gt;$B$5+$B$6+$B$7,0,IF(A27+1&gt;$B$5+$B$6+$B$7,0,IF(A27&gt;$B$6+$B$7,$B$13/K28,IF(A27&gt;=$B$6,$B$13*$B$15/K28,($B$13*$B$15+$B$12)/K28))))</f>
        <v/>
      </c>
      <c r="O27" s="29">
        <f>IF(A27&gt;$B$5+$B$6+$B$7,0,IF(A27=$B$6,-$M$7*$B$12,0))</f>
        <v/>
      </c>
      <c r="P27" s="29">
        <f>IF(A27&gt;$B$5+$B$6+$B$7,0,N27/(M27-L27*P26))</f>
        <v/>
      </c>
      <c r="Q27" s="29">
        <f>IF(A27&gt;$B$5+$B$6+$B$7,0,(O27-L27*Q26)/(M27-L27*P26))</f>
        <v/>
      </c>
      <c r="R27" s="30">
        <f>IF(A27&gt;$B$5+$B$6+$B$7,0,Q27-P27*R28)</f>
        <v/>
      </c>
      <c r="S27" s="29">
        <f>IF(A27&gt;$B$5+$B$6+$B$7,0,IF(A27&lt;=$B$6,$H$8*$B$9^$I$8,IF(A27&lt;=$B$6+$B$7,$H$8*$B$10^$I$8,$H$8*$B$11^$I$8)))</f>
        <v/>
      </c>
      <c r="T27" s="29">
        <f>IF(A27&gt;$B$5+$B$6+$B$7,0,IF(A27=1,0,$B$14))</f>
        <v/>
      </c>
      <c r="U27" s="29">
        <f>IF(A27&gt;$B$5+$B$6+$B$7,0,IF(A27&gt;$B$6+$B$7,-$B$14-$B$13/S27,IF(A27&gt;$B$6,-$B$14-$B$13*$B$15/S27,-$B$14-($B$13*$B$15+$B$12)/S27)))</f>
        <v/>
      </c>
      <c r="V27" s="29">
        <f>IF(A27&gt;$B$5+$B$6+$B$7,0,IF(A27+1&gt;$B$5+$B$6+$B$7,0,IF(A27&gt;$B$6+$B$7,$B$13/S28,IF(A27&gt;=$B$6,$B$13*$B$15/S28,($B$13*$B$15+$B$12)/S28))))</f>
        <v/>
      </c>
      <c r="W27" s="29">
        <f>IF(A27&gt;$B$5+$B$6+$B$7,0,IF(A27=$B$6,-$M$8*$B$12,0))</f>
        <v/>
      </c>
      <c r="X27" s="29">
        <f>IF(A27&gt;$B$5+$B$6+$B$7,0,V27/(U27-T27*X26))</f>
        <v/>
      </c>
      <c r="Y27" s="29">
        <f>IF(A27&gt;$B$5+$B$6+$B$7,0,(W27-T27*Y26)/(U27-T27*X26))</f>
        <v/>
      </c>
      <c r="Z27" s="30">
        <f>IF(A27&gt;$B$5+$B$6+$B$7,0,Y27-X27*Z28)</f>
        <v/>
      </c>
      <c r="AA27" s="29">
        <f>IF(A27&gt;$B$5+$B$6+$B$7,0,IF(A27&lt;=$B$6,$H$9*$B$9^$I$9,IF(A27&lt;=$B$6+$B$7,$H$9*$B$10^$I$9,$H$9*$B$11^$I$9)))</f>
        <v/>
      </c>
      <c r="AB27" s="29">
        <f>IF(A27&gt;$B$5+$B$6+$B$7,0,IF(A27=1,0,$B$14))</f>
        <v/>
      </c>
      <c r="AC27" s="29">
        <f>IF(A27&gt;$B$5+$B$6+$B$7,0,IF(A27&gt;$B$6+$B$7,-$B$14-$B$13/AA27,IF(A27&gt;$B$6,-$B$14-$B$13*$B$15/AA27,-$B$14-($B$13*$B$15+$B$12)/AA27)))</f>
        <v/>
      </c>
      <c r="AD27" s="29">
        <f>IF(A27&gt;$B$5+$B$6+$B$7,0,IF(A27+1&gt;$B$5+$B$6+$B$7,0,IF(A27&gt;$B$6+$B$7,$B$13/AA28,IF(A27&gt;=$B$6,$B$13*$B$15/AA28,($B$13*$B$15+$B$12)/AA28))))</f>
        <v/>
      </c>
      <c r="AE27" s="29">
        <f>IF(A27&gt;$B$5+$B$6+$B$7,0,IF(A27=$B$6,-$M$9*$B$12,0))</f>
        <v/>
      </c>
      <c r="AF27" s="29">
        <f>IF(A27&gt;$B$5+$B$6+$B$7,0,AD27/(AC27-AB27*AF26))</f>
        <v/>
      </c>
      <c r="AG27" s="29">
        <f>IF(A27&gt;$B$5+$B$6+$B$7,0,(AE27-AB27*AG26)/(AC27-AB27*AF26))</f>
        <v/>
      </c>
      <c r="AH27" s="30">
        <f>IF(A27&gt;$B$5+$B$6+$B$7,0,AG27-AF27*AH28)</f>
        <v/>
      </c>
      <c r="AI27" s="31">
        <f>IF(A27&gt;$B$5+$B$6+$B$7,0,IF(C27&lt;&gt;0,J27/C27,0))</f>
        <v/>
      </c>
      <c r="AJ27" s="31">
        <f>IF(A27&gt;$B$5+$B$6+$B$7,0,IF(K27&lt;&gt;0,R27/K27,0))</f>
        <v/>
      </c>
      <c r="AK27" s="31">
        <f>IF(A27&gt;$B$5+$B$6+$B$7,0,IF(S27&lt;&gt;0,Z27/S27,0))</f>
        <v/>
      </c>
      <c r="AL27" s="31">
        <f>IF(A27&gt;$B$5+$B$6+$B$7,0,IF(AA27&lt;&gt;0,AH27/AA27,0))</f>
        <v/>
      </c>
      <c r="AM27" s="30">
        <f>J27+R27+Z27+AH27</f>
        <v/>
      </c>
      <c r="AN27" s="30">
        <f>AI27+AJ27+AK27+AL27</f>
        <v/>
      </c>
    </row>
    <row r="28">
      <c r="A28" s="27" t="n">
        <v>9</v>
      </c>
      <c r="B28" s="28">
        <f>IF(A28&gt;$B$5+$B$6+$B$7,"—",IF(A28&lt;=$B$6,"Extraction",IF(A28&lt;=$B$6+$B$7,"Scrub","Strip")))</f>
        <v/>
      </c>
      <c r="C28" s="29">
        <f>IF(A28&gt;$B$5+$B$6+$B$7,0,IF(A28&lt;=$B$6,$H$6*$B$9^$I$6,IF(A28&lt;=$B$6+$B$7,$H$6*$B$10^$I$6,$H$6*$B$11^$I$6)))</f>
        <v/>
      </c>
      <c r="D28" s="29">
        <f>IF(A28&gt;$B$5+$B$6+$B$7,0,IF(A28=1,0,$B$14))</f>
        <v/>
      </c>
      <c r="E28" s="29">
        <f>IF(A28&gt;$B$5+$B$6+$B$7,0,IF(A28&gt;$B$6+$B$7,-$B$14-$B$13/C28,IF(A28&gt;$B$6,-$B$14-$B$13*$B$15/C28,-$B$14-($B$13*$B$15+$B$12)/C28)))</f>
        <v/>
      </c>
      <c r="F28" s="29">
        <f>IF(A28&gt;$B$5+$B$6+$B$7,0,IF(A28+1&gt;$B$5+$B$6+$B$7,0,IF(A28&gt;$B$6+$B$7,$B$13/C29,IF(A28&gt;=$B$6,$B$13*$B$15/C29,($B$13*$B$15+$B$12)/C29))))</f>
        <v/>
      </c>
      <c r="G28" s="29">
        <f>IF(A28&gt;$B$5+$B$6+$B$7,0,IF(A28=$B$6,-$M$6*$B$12,0))</f>
        <v/>
      </c>
      <c r="H28" s="29">
        <f>IF(A28&gt;$B$5+$B$6+$B$7,0,F28/(E28-D28*H27))</f>
        <v/>
      </c>
      <c r="I28" s="29">
        <f>IF(A28&gt;$B$5+$B$6+$B$7,0,(G28-D28*I27)/(E28-D28*H27))</f>
        <v/>
      </c>
      <c r="J28" s="30">
        <f>IF(A28&gt;$B$5+$B$6+$B$7,0,I28-H28*J29)</f>
        <v/>
      </c>
      <c r="K28" s="29">
        <f>IF(A28&gt;$B$5+$B$6+$B$7,0,IF(A28&lt;=$B$6,$H$7*$B$9^$I$7,IF(A28&lt;=$B$6+$B$7,$H$7*$B$10^$I$7,$H$7*$B$11^$I$7)))</f>
        <v/>
      </c>
      <c r="L28" s="29">
        <f>IF(A28&gt;$B$5+$B$6+$B$7,0,IF(A28=1,0,$B$14))</f>
        <v/>
      </c>
      <c r="M28" s="29">
        <f>IF(A28&gt;$B$5+$B$6+$B$7,0,IF(A28&gt;$B$6+$B$7,-$B$14-$B$13/K28,IF(A28&gt;$B$6,-$B$14-$B$13*$B$15/K28,-$B$14-($B$13*$B$15+$B$12)/K28)))</f>
        <v/>
      </c>
      <c r="N28" s="29">
        <f>IF(A28&gt;$B$5+$B$6+$B$7,0,IF(A28+1&gt;$B$5+$B$6+$B$7,0,IF(A28&gt;$B$6+$B$7,$B$13/K29,IF(A28&gt;=$B$6,$B$13*$B$15/K29,($B$13*$B$15+$B$12)/K29))))</f>
        <v/>
      </c>
      <c r="O28" s="29">
        <f>IF(A28&gt;$B$5+$B$6+$B$7,0,IF(A28=$B$6,-$M$7*$B$12,0))</f>
        <v/>
      </c>
      <c r="P28" s="29">
        <f>IF(A28&gt;$B$5+$B$6+$B$7,0,N28/(M28-L28*P27))</f>
        <v/>
      </c>
      <c r="Q28" s="29">
        <f>IF(A28&gt;$B$5+$B$6+$B$7,0,(O28-L28*Q27)/(M28-L28*P27))</f>
        <v/>
      </c>
      <c r="R28" s="30">
        <f>IF(A28&gt;$B$5+$B$6+$B$7,0,Q28-P28*R29)</f>
        <v/>
      </c>
      <c r="S28" s="29">
        <f>IF(A28&gt;$B$5+$B$6+$B$7,0,IF(A28&lt;=$B$6,$H$8*$B$9^$I$8,IF(A28&lt;=$B$6+$B$7,$H$8*$B$10^$I$8,$H$8*$B$11^$I$8)))</f>
        <v/>
      </c>
      <c r="T28" s="29">
        <f>IF(A28&gt;$B$5+$B$6+$B$7,0,IF(A28=1,0,$B$14))</f>
        <v/>
      </c>
      <c r="U28" s="29">
        <f>IF(A28&gt;$B$5+$B$6+$B$7,0,IF(A28&gt;$B$6+$B$7,-$B$14-$B$13/S28,IF(A28&gt;$B$6,-$B$14-$B$13*$B$15/S28,-$B$14-($B$13*$B$15+$B$12)/S28)))</f>
        <v/>
      </c>
      <c r="V28" s="29">
        <f>IF(A28&gt;$B$5+$B$6+$B$7,0,IF(A28+1&gt;$B$5+$B$6+$B$7,0,IF(A28&gt;$B$6+$B$7,$B$13/S29,IF(A28&gt;=$B$6,$B$13*$B$15/S29,($B$13*$B$15+$B$12)/S29))))</f>
        <v/>
      </c>
      <c r="W28" s="29">
        <f>IF(A28&gt;$B$5+$B$6+$B$7,0,IF(A28=$B$6,-$M$8*$B$12,0))</f>
        <v/>
      </c>
      <c r="X28" s="29">
        <f>IF(A28&gt;$B$5+$B$6+$B$7,0,V28/(U28-T28*X27))</f>
        <v/>
      </c>
      <c r="Y28" s="29">
        <f>IF(A28&gt;$B$5+$B$6+$B$7,0,(W28-T28*Y27)/(U28-T28*X27))</f>
        <v/>
      </c>
      <c r="Z28" s="30">
        <f>IF(A28&gt;$B$5+$B$6+$B$7,0,Y28-X28*Z29)</f>
        <v/>
      </c>
      <c r="AA28" s="29">
        <f>IF(A28&gt;$B$5+$B$6+$B$7,0,IF(A28&lt;=$B$6,$H$9*$B$9^$I$9,IF(A28&lt;=$B$6+$B$7,$H$9*$B$10^$I$9,$H$9*$B$11^$I$9)))</f>
        <v/>
      </c>
      <c r="AB28" s="29">
        <f>IF(A28&gt;$B$5+$B$6+$B$7,0,IF(A28=1,0,$B$14))</f>
        <v/>
      </c>
      <c r="AC28" s="29">
        <f>IF(A28&gt;$B$5+$B$6+$B$7,0,IF(A28&gt;$B$6+$B$7,-$B$14-$B$13/AA28,IF(A28&gt;$B$6,-$B$14-$B$13*$B$15/AA28,-$B$14-($B$13*$B$15+$B$12)/AA28)))</f>
        <v/>
      </c>
      <c r="AD28" s="29">
        <f>IF(A28&gt;$B$5+$B$6+$B$7,0,IF(A28+1&gt;$B$5+$B$6+$B$7,0,IF(A28&gt;$B$6+$B$7,$B$13/AA29,IF(A28&gt;=$B$6,$B$13*$B$15/AA29,($B$13*$B$15+$B$12)/AA29))))</f>
        <v/>
      </c>
      <c r="AE28" s="29">
        <f>IF(A28&gt;$B$5+$B$6+$B$7,0,IF(A28=$B$6,-$M$9*$B$12,0))</f>
        <v/>
      </c>
      <c r="AF28" s="29">
        <f>IF(A28&gt;$B$5+$B$6+$B$7,0,AD28/(AC28-AB28*AF27))</f>
        <v/>
      </c>
      <c r="AG28" s="29">
        <f>IF(A28&gt;$B$5+$B$6+$B$7,0,(AE28-AB28*AG27)/(AC28-AB28*AF27))</f>
        <v/>
      </c>
      <c r="AH28" s="30">
        <f>IF(A28&gt;$B$5+$B$6+$B$7,0,AG28-AF28*AH29)</f>
        <v/>
      </c>
      <c r="AI28" s="31">
        <f>IF(A28&gt;$B$5+$B$6+$B$7,0,IF(C28&lt;&gt;0,J28/C28,0))</f>
        <v/>
      </c>
      <c r="AJ28" s="31">
        <f>IF(A28&gt;$B$5+$B$6+$B$7,0,IF(K28&lt;&gt;0,R28/K28,0))</f>
        <v/>
      </c>
      <c r="AK28" s="31">
        <f>IF(A28&gt;$B$5+$B$6+$B$7,0,IF(S28&lt;&gt;0,Z28/S28,0))</f>
        <v/>
      </c>
      <c r="AL28" s="31">
        <f>IF(A28&gt;$B$5+$B$6+$B$7,0,IF(AA28&lt;&gt;0,AH28/AA28,0))</f>
        <v/>
      </c>
      <c r="AM28" s="30">
        <f>J28+R28+Z28+AH28</f>
        <v/>
      </c>
      <c r="AN28" s="30">
        <f>AI28+AJ28+AK28+AL28</f>
        <v/>
      </c>
    </row>
    <row r="29">
      <c r="A29" s="27" t="n">
        <v>10</v>
      </c>
      <c r="B29" s="28">
        <f>IF(A29&gt;$B$5+$B$6+$B$7,"—",IF(A29&lt;=$B$6,"Extraction",IF(A29&lt;=$B$6+$B$7,"Scrub","Strip")))</f>
        <v/>
      </c>
      <c r="C29" s="29">
        <f>IF(A29&gt;$B$5+$B$6+$B$7,0,IF(A29&lt;=$B$6,$H$6*$B$9^$I$6,IF(A29&lt;=$B$6+$B$7,$H$6*$B$10^$I$6,$H$6*$B$11^$I$6)))</f>
        <v/>
      </c>
      <c r="D29" s="29">
        <f>IF(A29&gt;$B$5+$B$6+$B$7,0,IF(A29=1,0,$B$14))</f>
        <v/>
      </c>
      <c r="E29" s="29">
        <f>IF(A29&gt;$B$5+$B$6+$B$7,0,IF(A29&gt;$B$6+$B$7,-$B$14-$B$13/C29,IF(A29&gt;$B$6,-$B$14-$B$13*$B$15/C29,-$B$14-($B$13*$B$15+$B$12)/C29)))</f>
        <v/>
      </c>
      <c r="F29" s="29">
        <f>IF(A29&gt;$B$5+$B$6+$B$7,0,IF(A29+1&gt;$B$5+$B$6+$B$7,0,IF(A29&gt;$B$6+$B$7,$B$13/C30,IF(A29&gt;=$B$6,$B$13*$B$15/C30,($B$13*$B$15+$B$12)/C30))))</f>
        <v/>
      </c>
      <c r="G29" s="29">
        <f>IF(A29&gt;$B$5+$B$6+$B$7,0,IF(A29=$B$6,-$M$6*$B$12,0))</f>
        <v/>
      </c>
      <c r="H29" s="29">
        <f>IF(A29&gt;$B$5+$B$6+$B$7,0,F29/(E29-D29*H28))</f>
        <v/>
      </c>
      <c r="I29" s="29">
        <f>IF(A29&gt;$B$5+$B$6+$B$7,0,(G29-D29*I28)/(E29-D29*H28))</f>
        <v/>
      </c>
      <c r="J29" s="30">
        <f>IF(A29&gt;$B$5+$B$6+$B$7,0,I29-H29*J30)</f>
        <v/>
      </c>
      <c r="K29" s="29">
        <f>IF(A29&gt;$B$5+$B$6+$B$7,0,IF(A29&lt;=$B$6,$H$7*$B$9^$I$7,IF(A29&lt;=$B$6+$B$7,$H$7*$B$10^$I$7,$H$7*$B$11^$I$7)))</f>
        <v/>
      </c>
      <c r="L29" s="29">
        <f>IF(A29&gt;$B$5+$B$6+$B$7,0,IF(A29=1,0,$B$14))</f>
        <v/>
      </c>
      <c r="M29" s="29">
        <f>IF(A29&gt;$B$5+$B$6+$B$7,0,IF(A29&gt;$B$6+$B$7,-$B$14-$B$13/K29,IF(A29&gt;$B$6,-$B$14-$B$13*$B$15/K29,-$B$14-($B$13*$B$15+$B$12)/K29)))</f>
        <v/>
      </c>
      <c r="N29" s="29">
        <f>IF(A29&gt;$B$5+$B$6+$B$7,0,IF(A29+1&gt;$B$5+$B$6+$B$7,0,IF(A29&gt;$B$6+$B$7,$B$13/K30,IF(A29&gt;=$B$6,$B$13*$B$15/K30,($B$13*$B$15+$B$12)/K30))))</f>
        <v/>
      </c>
      <c r="O29" s="29">
        <f>IF(A29&gt;$B$5+$B$6+$B$7,0,IF(A29=$B$6,-$M$7*$B$12,0))</f>
        <v/>
      </c>
      <c r="P29" s="29">
        <f>IF(A29&gt;$B$5+$B$6+$B$7,0,N29/(M29-L29*P28))</f>
        <v/>
      </c>
      <c r="Q29" s="29">
        <f>IF(A29&gt;$B$5+$B$6+$B$7,0,(O29-L29*Q28)/(M29-L29*P28))</f>
        <v/>
      </c>
      <c r="R29" s="30">
        <f>IF(A29&gt;$B$5+$B$6+$B$7,0,Q29-P29*R30)</f>
        <v/>
      </c>
      <c r="S29" s="29">
        <f>IF(A29&gt;$B$5+$B$6+$B$7,0,IF(A29&lt;=$B$6,$H$8*$B$9^$I$8,IF(A29&lt;=$B$6+$B$7,$H$8*$B$10^$I$8,$H$8*$B$11^$I$8)))</f>
        <v/>
      </c>
      <c r="T29" s="29">
        <f>IF(A29&gt;$B$5+$B$6+$B$7,0,IF(A29=1,0,$B$14))</f>
        <v/>
      </c>
      <c r="U29" s="29">
        <f>IF(A29&gt;$B$5+$B$6+$B$7,0,IF(A29&gt;$B$6+$B$7,-$B$14-$B$13/S29,IF(A29&gt;$B$6,-$B$14-$B$13*$B$15/S29,-$B$14-($B$13*$B$15+$B$12)/S29)))</f>
        <v/>
      </c>
      <c r="V29" s="29">
        <f>IF(A29&gt;$B$5+$B$6+$B$7,0,IF(A29+1&gt;$B$5+$B$6+$B$7,0,IF(A29&gt;$B$6+$B$7,$B$13/S30,IF(A29&gt;=$B$6,$B$13*$B$15/S30,($B$13*$B$15+$B$12)/S30))))</f>
        <v/>
      </c>
      <c r="W29" s="29">
        <f>IF(A29&gt;$B$5+$B$6+$B$7,0,IF(A29=$B$6,-$M$8*$B$12,0))</f>
        <v/>
      </c>
      <c r="X29" s="29">
        <f>IF(A29&gt;$B$5+$B$6+$B$7,0,V29/(U29-T29*X28))</f>
        <v/>
      </c>
      <c r="Y29" s="29">
        <f>IF(A29&gt;$B$5+$B$6+$B$7,0,(W29-T29*Y28)/(U29-T29*X28))</f>
        <v/>
      </c>
      <c r="Z29" s="30">
        <f>IF(A29&gt;$B$5+$B$6+$B$7,0,Y29-X29*Z30)</f>
        <v/>
      </c>
      <c r="AA29" s="29">
        <f>IF(A29&gt;$B$5+$B$6+$B$7,0,IF(A29&lt;=$B$6,$H$9*$B$9^$I$9,IF(A29&lt;=$B$6+$B$7,$H$9*$B$10^$I$9,$H$9*$B$11^$I$9)))</f>
        <v/>
      </c>
      <c r="AB29" s="29">
        <f>IF(A29&gt;$B$5+$B$6+$B$7,0,IF(A29=1,0,$B$14))</f>
        <v/>
      </c>
      <c r="AC29" s="29">
        <f>IF(A29&gt;$B$5+$B$6+$B$7,0,IF(A29&gt;$B$6+$B$7,-$B$14-$B$13/AA29,IF(A29&gt;$B$6,-$B$14-$B$13*$B$15/AA29,-$B$14-($B$13*$B$15+$B$12)/AA29)))</f>
        <v/>
      </c>
      <c r="AD29" s="29">
        <f>IF(A29&gt;$B$5+$B$6+$B$7,0,IF(A29+1&gt;$B$5+$B$6+$B$7,0,IF(A29&gt;$B$6+$B$7,$B$13/AA30,IF(A29&gt;=$B$6,$B$13*$B$15/AA30,($B$13*$B$15+$B$12)/AA30))))</f>
        <v/>
      </c>
      <c r="AE29" s="29">
        <f>IF(A29&gt;$B$5+$B$6+$B$7,0,IF(A29=$B$6,-$M$9*$B$12,0))</f>
        <v/>
      </c>
      <c r="AF29" s="29">
        <f>IF(A29&gt;$B$5+$B$6+$B$7,0,AD29/(AC29-AB29*AF28))</f>
        <v/>
      </c>
      <c r="AG29" s="29">
        <f>IF(A29&gt;$B$5+$B$6+$B$7,0,(AE29-AB29*AG28)/(AC29-AB29*AF28))</f>
        <v/>
      </c>
      <c r="AH29" s="30">
        <f>IF(A29&gt;$B$5+$B$6+$B$7,0,AG29-AF29*AH30)</f>
        <v/>
      </c>
      <c r="AI29" s="31">
        <f>IF(A29&gt;$B$5+$B$6+$B$7,0,IF(C29&lt;&gt;0,J29/C29,0))</f>
        <v/>
      </c>
      <c r="AJ29" s="31">
        <f>IF(A29&gt;$B$5+$B$6+$B$7,0,IF(K29&lt;&gt;0,R29/K29,0))</f>
        <v/>
      </c>
      <c r="AK29" s="31">
        <f>IF(A29&gt;$B$5+$B$6+$B$7,0,IF(S29&lt;&gt;0,Z29/S29,0))</f>
        <v/>
      </c>
      <c r="AL29" s="31">
        <f>IF(A29&gt;$B$5+$B$6+$B$7,0,IF(AA29&lt;&gt;0,AH29/AA29,0))</f>
        <v/>
      </c>
      <c r="AM29" s="30">
        <f>J29+R29+Z29+AH29</f>
        <v/>
      </c>
      <c r="AN29" s="30">
        <f>AI29+AJ29+AK29+AL29</f>
        <v/>
      </c>
    </row>
    <row r="30">
      <c r="A30" s="27" t="n">
        <v>11</v>
      </c>
      <c r="B30" s="28">
        <f>IF(A30&gt;$B$5+$B$6+$B$7,"—",IF(A30&lt;=$B$6,"Extraction",IF(A30&lt;=$B$6+$B$7,"Scrub","Strip")))</f>
        <v/>
      </c>
      <c r="C30" s="29">
        <f>IF(A30&gt;$B$5+$B$6+$B$7,0,IF(A30&lt;=$B$6,$H$6*$B$9^$I$6,IF(A30&lt;=$B$6+$B$7,$H$6*$B$10^$I$6,$H$6*$B$11^$I$6)))</f>
        <v/>
      </c>
      <c r="D30" s="29">
        <f>IF(A30&gt;$B$5+$B$6+$B$7,0,IF(A30=1,0,$B$14))</f>
        <v/>
      </c>
      <c r="E30" s="29">
        <f>IF(A30&gt;$B$5+$B$6+$B$7,0,IF(A30&gt;$B$6+$B$7,-$B$14-$B$13/C30,IF(A30&gt;$B$6,-$B$14-$B$13*$B$15/C30,-$B$14-($B$13*$B$15+$B$12)/C30)))</f>
        <v/>
      </c>
      <c r="F30" s="29">
        <f>IF(A30&gt;$B$5+$B$6+$B$7,0,IF(A30+1&gt;$B$5+$B$6+$B$7,0,IF(A30&gt;$B$6+$B$7,$B$13/C31,IF(A30&gt;=$B$6,$B$13*$B$15/C31,($B$13*$B$15+$B$12)/C31))))</f>
        <v/>
      </c>
      <c r="G30" s="29">
        <f>IF(A30&gt;$B$5+$B$6+$B$7,0,IF(A30=$B$6,-$M$6*$B$12,0))</f>
        <v/>
      </c>
      <c r="H30" s="29">
        <f>IF(A30&gt;$B$5+$B$6+$B$7,0,F30/(E30-D30*H29))</f>
        <v/>
      </c>
      <c r="I30" s="29">
        <f>IF(A30&gt;$B$5+$B$6+$B$7,0,(G30-D30*I29)/(E30-D30*H29))</f>
        <v/>
      </c>
      <c r="J30" s="30">
        <f>IF(A30&gt;$B$5+$B$6+$B$7,0,I30-H30*J31)</f>
        <v/>
      </c>
      <c r="K30" s="29">
        <f>IF(A30&gt;$B$5+$B$6+$B$7,0,IF(A30&lt;=$B$6,$H$7*$B$9^$I$7,IF(A30&lt;=$B$6+$B$7,$H$7*$B$10^$I$7,$H$7*$B$11^$I$7)))</f>
        <v/>
      </c>
      <c r="L30" s="29">
        <f>IF(A30&gt;$B$5+$B$6+$B$7,0,IF(A30=1,0,$B$14))</f>
        <v/>
      </c>
      <c r="M30" s="29">
        <f>IF(A30&gt;$B$5+$B$6+$B$7,0,IF(A30&gt;$B$6+$B$7,-$B$14-$B$13/K30,IF(A30&gt;$B$6,-$B$14-$B$13*$B$15/K30,-$B$14-($B$13*$B$15+$B$12)/K30)))</f>
        <v/>
      </c>
      <c r="N30" s="29">
        <f>IF(A30&gt;$B$5+$B$6+$B$7,0,IF(A30+1&gt;$B$5+$B$6+$B$7,0,IF(A30&gt;$B$6+$B$7,$B$13/K31,IF(A30&gt;=$B$6,$B$13*$B$15/K31,($B$13*$B$15+$B$12)/K31))))</f>
        <v/>
      </c>
      <c r="O30" s="29">
        <f>IF(A30&gt;$B$5+$B$6+$B$7,0,IF(A30=$B$6,-$M$7*$B$12,0))</f>
        <v/>
      </c>
      <c r="P30" s="29">
        <f>IF(A30&gt;$B$5+$B$6+$B$7,0,N30/(M30-L30*P29))</f>
        <v/>
      </c>
      <c r="Q30" s="29">
        <f>IF(A30&gt;$B$5+$B$6+$B$7,0,(O30-L30*Q29)/(M30-L30*P29))</f>
        <v/>
      </c>
      <c r="R30" s="30">
        <f>IF(A30&gt;$B$5+$B$6+$B$7,0,Q30-P30*R31)</f>
        <v/>
      </c>
      <c r="S30" s="29">
        <f>IF(A30&gt;$B$5+$B$6+$B$7,0,IF(A30&lt;=$B$6,$H$8*$B$9^$I$8,IF(A30&lt;=$B$6+$B$7,$H$8*$B$10^$I$8,$H$8*$B$11^$I$8)))</f>
        <v/>
      </c>
      <c r="T30" s="29">
        <f>IF(A30&gt;$B$5+$B$6+$B$7,0,IF(A30=1,0,$B$14))</f>
        <v/>
      </c>
      <c r="U30" s="29">
        <f>IF(A30&gt;$B$5+$B$6+$B$7,0,IF(A30&gt;$B$6+$B$7,-$B$14-$B$13/S30,IF(A30&gt;$B$6,-$B$14-$B$13*$B$15/S30,-$B$14-($B$13*$B$15+$B$12)/S30)))</f>
        <v/>
      </c>
      <c r="V30" s="29">
        <f>IF(A30&gt;$B$5+$B$6+$B$7,0,IF(A30+1&gt;$B$5+$B$6+$B$7,0,IF(A30&gt;$B$6+$B$7,$B$13/S31,IF(A30&gt;=$B$6,$B$13*$B$15/S31,($B$13*$B$15+$B$12)/S31))))</f>
        <v/>
      </c>
      <c r="W30" s="29">
        <f>IF(A30&gt;$B$5+$B$6+$B$7,0,IF(A30=$B$6,-$M$8*$B$12,0))</f>
        <v/>
      </c>
      <c r="X30" s="29">
        <f>IF(A30&gt;$B$5+$B$6+$B$7,0,V30/(U30-T30*X29))</f>
        <v/>
      </c>
      <c r="Y30" s="29">
        <f>IF(A30&gt;$B$5+$B$6+$B$7,0,(W30-T30*Y29)/(U30-T30*X29))</f>
        <v/>
      </c>
      <c r="Z30" s="30">
        <f>IF(A30&gt;$B$5+$B$6+$B$7,0,Y30-X30*Z31)</f>
        <v/>
      </c>
      <c r="AA30" s="29">
        <f>IF(A30&gt;$B$5+$B$6+$B$7,0,IF(A30&lt;=$B$6,$H$9*$B$9^$I$9,IF(A30&lt;=$B$6+$B$7,$H$9*$B$10^$I$9,$H$9*$B$11^$I$9)))</f>
        <v/>
      </c>
      <c r="AB30" s="29">
        <f>IF(A30&gt;$B$5+$B$6+$B$7,0,IF(A30=1,0,$B$14))</f>
        <v/>
      </c>
      <c r="AC30" s="29">
        <f>IF(A30&gt;$B$5+$B$6+$B$7,0,IF(A30&gt;$B$6+$B$7,-$B$14-$B$13/AA30,IF(A30&gt;$B$6,-$B$14-$B$13*$B$15/AA30,-$B$14-($B$13*$B$15+$B$12)/AA30)))</f>
        <v/>
      </c>
      <c r="AD30" s="29">
        <f>IF(A30&gt;$B$5+$B$6+$B$7,0,IF(A30+1&gt;$B$5+$B$6+$B$7,0,IF(A30&gt;$B$6+$B$7,$B$13/AA31,IF(A30&gt;=$B$6,$B$13*$B$15/AA31,($B$13*$B$15+$B$12)/AA31))))</f>
        <v/>
      </c>
      <c r="AE30" s="29">
        <f>IF(A30&gt;$B$5+$B$6+$B$7,0,IF(A30=$B$6,-$M$9*$B$12,0))</f>
        <v/>
      </c>
      <c r="AF30" s="29">
        <f>IF(A30&gt;$B$5+$B$6+$B$7,0,AD30/(AC30-AB30*AF29))</f>
        <v/>
      </c>
      <c r="AG30" s="29">
        <f>IF(A30&gt;$B$5+$B$6+$B$7,0,(AE30-AB30*AG29)/(AC30-AB30*AF29))</f>
        <v/>
      </c>
      <c r="AH30" s="30">
        <f>IF(A30&gt;$B$5+$B$6+$B$7,0,AG30-AF30*AH31)</f>
        <v/>
      </c>
      <c r="AI30" s="31">
        <f>IF(A30&gt;$B$5+$B$6+$B$7,0,IF(C30&lt;&gt;0,J30/C30,0))</f>
        <v/>
      </c>
      <c r="AJ30" s="31">
        <f>IF(A30&gt;$B$5+$B$6+$B$7,0,IF(K30&lt;&gt;0,R30/K30,0))</f>
        <v/>
      </c>
      <c r="AK30" s="31">
        <f>IF(A30&gt;$B$5+$B$6+$B$7,0,IF(S30&lt;&gt;0,Z30/S30,0))</f>
        <v/>
      </c>
      <c r="AL30" s="31">
        <f>IF(A30&gt;$B$5+$B$6+$B$7,0,IF(AA30&lt;&gt;0,AH30/AA30,0))</f>
        <v/>
      </c>
      <c r="AM30" s="30">
        <f>J30+R30+Z30+AH30</f>
        <v/>
      </c>
      <c r="AN30" s="30">
        <f>AI30+AJ30+AK30+AL30</f>
        <v/>
      </c>
    </row>
    <row r="31">
      <c r="A31" s="27" t="n">
        <v>12</v>
      </c>
      <c r="B31" s="28">
        <f>IF(A31&gt;$B$5+$B$6+$B$7,"—",IF(A31&lt;=$B$6,"Extraction",IF(A31&lt;=$B$6+$B$7,"Scrub","Strip")))</f>
        <v/>
      </c>
      <c r="C31" s="29">
        <f>IF(A31&gt;$B$5+$B$6+$B$7,0,IF(A31&lt;=$B$6,$H$6*$B$9^$I$6,IF(A31&lt;=$B$6+$B$7,$H$6*$B$10^$I$6,$H$6*$B$11^$I$6)))</f>
        <v/>
      </c>
      <c r="D31" s="29">
        <f>IF(A31&gt;$B$5+$B$6+$B$7,0,IF(A31=1,0,$B$14))</f>
        <v/>
      </c>
      <c r="E31" s="29">
        <f>IF(A31&gt;$B$5+$B$6+$B$7,0,IF(A31&gt;$B$6+$B$7,-$B$14-$B$13/C31,IF(A31&gt;$B$6,-$B$14-$B$13*$B$15/C31,-$B$14-($B$13*$B$15+$B$12)/C31)))</f>
        <v/>
      </c>
      <c r="F31" s="29">
        <f>IF(A31&gt;$B$5+$B$6+$B$7,0,IF(A31+1&gt;$B$5+$B$6+$B$7,0,IF(A31&gt;$B$6+$B$7,$B$13/C32,IF(A31&gt;=$B$6,$B$13*$B$15/C32,($B$13*$B$15+$B$12)/C32))))</f>
        <v/>
      </c>
      <c r="G31" s="29">
        <f>IF(A31&gt;$B$5+$B$6+$B$7,0,IF(A31=$B$6,-$M$6*$B$12,0))</f>
        <v/>
      </c>
      <c r="H31" s="29">
        <f>IF(A31&gt;$B$5+$B$6+$B$7,0,F31/(E31-D31*H30))</f>
        <v/>
      </c>
      <c r="I31" s="29">
        <f>IF(A31&gt;$B$5+$B$6+$B$7,0,(G31-D31*I30)/(E31-D31*H30))</f>
        <v/>
      </c>
      <c r="J31" s="30">
        <f>IF(A31&gt;$B$5+$B$6+$B$7,0,I31-H31*J32)</f>
        <v/>
      </c>
      <c r="K31" s="29">
        <f>IF(A31&gt;$B$5+$B$6+$B$7,0,IF(A31&lt;=$B$6,$H$7*$B$9^$I$7,IF(A31&lt;=$B$6+$B$7,$H$7*$B$10^$I$7,$H$7*$B$11^$I$7)))</f>
        <v/>
      </c>
      <c r="L31" s="29">
        <f>IF(A31&gt;$B$5+$B$6+$B$7,0,IF(A31=1,0,$B$14))</f>
        <v/>
      </c>
      <c r="M31" s="29">
        <f>IF(A31&gt;$B$5+$B$6+$B$7,0,IF(A31&gt;$B$6+$B$7,-$B$14-$B$13/K31,IF(A31&gt;$B$6,-$B$14-$B$13*$B$15/K31,-$B$14-($B$13*$B$15+$B$12)/K31)))</f>
        <v/>
      </c>
      <c r="N31" s="29">
        <f>IF(A31&gt;$B$5+$B$6+$B$7,0,IF(A31+1&gt;$B$5+$B$6+$B$7,0,IF(A31&gt;$B$6+$B$7,$B$13/K32,IF(A31&gt;=$B$6,$B$13*$B$15/K32,($B$13*$B$15+$B$12)/K32))))</f>
        <v/>
      </c>
      <c r="O31" s="29">
        <f>IF(A31&gt;$B$5+$B$6+$B$7,0,IF(A31=$B$6,-$M$7*$B$12,0))</f>
        <v/>
      </c>
      <c r="P31" s="29">
        <f>IF(A31&gt;$B$5+$B$6+$B$7,0,N31/(M31-L31*P30))</f>
        <v/>
      </c>
      <c r="Q31" s="29">
        <f>IF(A31&gt;$B$5+$B$6+$B$7,0,(O31-L31*Q30)/(M31-L31*P30))</f>
        <v/>
      </c>
      <c r="R31" s="30">
        <f>IF(A31&gt;$B$5+$B$6+$B$7,0,Q31-P31*R32)</f>
        <v/>
      </c>
      <c r="S31" s="29">
        <f>IF(A31&gt;$B$5+$B$6+$B$7,0,IF(A31&lt;=$B$6,$H$8*$B$9^$I$8,IF(A31&lt;=$B$6+$B$7,$H$8*$B$10^$I$8,$H$8*$B$11^$I$8)))</f>
        <v/>
      </c>
      <c r="T31" s="29">
        <f>IF(A31&gt;$B$5+$B$6+$B$7,0,IF(A31=1,0,$B$14))</f>
        <v/>
      </c>
      <c r="U31" s="29">
        <f>IF(A31&gt;$B$5+$B$6+$B$7,0,IF(A31&gt;$B$6+$B$7,-$B$14-$B$13/S31,IF(A31&gt;$B$6,-$B$14-$B$13*$B$15/S31,-$B$14-($B$13*$B$15+$B$12)/S31)))</f>
        <v/>
      </c>
      <c r="V31" s="29">
        <f>IF(A31&gt;$B$5+$B$6+$B$7,0,IF(A31+1&gt;$B$5+$B$6+$B$7,0,IF(A31&gt;$B$6+$B$7,$B$13/S32,IF(A31&gt;=$B$6,$B$13*$B$15/S32,($B$13*$B$15+$B$12)/S32))))</f>
        <v/>
      </c>
      <c r="W31" s="29">
        <f>IF(A31&gt;$B$5+$B$6+$B$7,0,IF(A31=$B$6,-$M$8*$B$12,0))</f>
        <v/>
      </c>
      <c r="X31" s="29">
        <f>IF(A31&gt;$B$5+$B$6+$B$7,0,V31/(U31-T31*X30))</f>
        <v/>
      </c>
      <c r="Y31" s="29">
        <f>IF(A31&gt;$B$5+$B$6+$B$7,0,(W31-T31*Y30)/(U31-T31*X30))</f>
        <v/>
      </c>
      <c r="Z31" s="30">
        <f>IF(A31&gt;$B$5+$B$6+$B$7,0,Y31-X31*Z32)</f>
        <v/>
      </c>
      <c r="AA31" s="29">
        <f>IF(A31&gt;$B$5+$B$6+$B$7,0,IF(A31&lt;=$B$6,$H$9*$B$9^$I$9,IF(A31&lt;=$B$6+$B$7,$H$9*$B$10^$I$9,$H$9*$B$11^$I$9)))</f>
        <v/>
      </c>
      <c r="AB31" s="29">
        <f>IF(A31&gt;$B$5+$B$6+$B$7,0,IF(A31=1,0,$B$14))</f>
        <v/>
      </c>
      <c r="AC31" s="29">
        <f>IF(A31&gt;$B$5+$B$6+$B$7,0,IF(A31&gt;$B$6+$B$7,-$B$14-$B$13/AA31,IF(A31&gt;$B$6,-$B$14-$B$13*$B$15/AA31,-$B$14-($B$13*$B$15+$B$12)/AA31)))</f>
        <v/>
      </c>
      <c r="AD31" s="29">
        <f>IF(A31&gt;$B$5+$B$6+$B$7,0,IF(A31+1&gt;$B$5+$B$6+$B$7,0,IF(A31&gt;$B$6+$B$7,$B$13/AA32,IF(A31&gt;=$B$6,$B$13*$B$15/AA32,($B$13*$B$15+$B$12)/AA32))))</f>
        <v/>
      </c>
      <c r="AE31" s="29">
        <f>IF(A31&gt;$B$5+$B$6+$B$7,0,IF(A31=$B$6,-$M$9*$B$12,0))</f>
        <v/>
      </c>
      <c r="AF31" s="29">
        <f>IF(A31&gt;$B$5+$B$6+$B$7,0,AD31/(AC31-AB31*AF30))</f>
        <v/>
      </c>
      <c r="AG31" s="29">
        <f>IF(A31&gt;$B$5+$B$6+$B$7,0,(AE31-AB31*AG30)/(AC31-AB31*AF30))</f>
        <v/>
      </c>
      <c r="AH31" s="30">
        <f>IF(A31&gt;$B$5+$B$6+$B$7,0,AG31-AF31*AH32)</f>
        <v/>
      </c>
      <c r="AI31" s="31">
        <f>IF(A31&gt;$B$5+$B$6+$B$7,0,IF(C31&lt;&gt;0,J31/C31,0))</f>
        <v/>
      </c>
      <c r="AJ31" s="31">
        <f>IF(A31&gt;$B$5+$B$6+$B$7,0,IF(K31&lt;&gt;0,R31/K31,0))</f>
        <v/>
      </c>
      <c r="AK31" s="31">
        <f>IF(A31&gt;$B$5+$B$6+$B$7,0,IF(S31&lt;&gt;0,Z31/S31,0))</f>
        <v/>
      </c>
      <c r="AL31" s="31">
        <f>IF(A31&gt;$B$5+$B$6+$B$7,0,IF(AA31&lt;&gt;0,AH31/AA31,0))</f>
        <v/>
      </c>
      <c r="AM31" s="30">
        <f>J31+R31+Z31+AH31</f>
        <v/>
      </c>
      <c r="AN31" s="30">
        <f>AI31+AJ31+AK31+AL31</f>
        <v/>
      </c>
    </row>
    <row r="32">
      <c r="A32" s="27" t="n">
        <v>13</v>
      </c>
      <c r="B32" s="28">
        <f>IF(A32&gt;$B$5+$B$6+$B$7,"—",IF(A32&lt;=$B$6,"Extraction",IF(A32&lt;=$B$6+$B$7,"Scrub","Strip")))</f>
        <v/>
      </c>
      <c r="C32" s="29">
        <f>IF(A32&gt;$B$5+$B$6+$B$7,0,IF(A32&lt;=$B$6,$H$6*$B$9^$I$6,IF(A32&lt;=$B$6+$B$7,$H$6*$B$10^$I$6,$H$6*$B$11^$I$6)))</f>
        <v/>
      </c>
      <c r="D32" s="29">
        <f>IF(A32&gt;$B$5+$B$6+$B$7,0,IF(A32=1,0,$B$14))</f>
        <v/>
      </c>
      <c r="E32" s="29">
        <f>IF(A32&gt;$B$5+$B$6+$B$7,0,IF(A32&gt;$B$6+$B$7,-$B$14-$B$13/C32,IF(A32&gt;$B$6,-$B$14-$B$13*$B$15/C32,-$B$14-($B$13*$B$15+$B$12)/C32)))</f>
        <v/>
      </c>
      <c r="F32" s="29">
        <f>IF(A32&gt;$B$5+$B$6+$B$7,0,IF(A32+1&gt;$B$5+$B$6+$B$7,0,IF(A32&gt;$B$6+$B$7,$B$13/C33,IF(A32&gt;=$B$6,$B$13*$B$15/C33,($B$13*$B$15+$B$12)/C33))))</f>
        <v/>
      </c>
      <c r="G32" s="29">
        <f>IF(A32&gt;$B$5+$B$6+$B$7,0,IF(A32=$B$6,-$M$6*$B$12,0))</f>
        <v/>
      </c>
      <c r="H32" s="29">
        <f>IF(A32&gt;$B$5+$B$6+$B$7,0,F32/(E32-D32*H31))</f>
        <v/>
      </c>
      <c r="I32" s="29">
        <f>IF(A32&gt;$B$5+$B$6+$B$7,0,(G32-D32*I31)/(E32-D32*H31))</f>
        <v/>
      </c>
      <c r="J32" s="30">
        <f>IF(A32&gt;$B$5+$B$6+$B$7,0,I32-H32*J33)</f>
        <v/>
      </c>
      <c r="K32" s="29">
        <f>IF(A32&gt;$B$5+$B$6+$B$7,0,IF(A32&lt;=$B$6,$H$7*$B$9^$I$7,IF(A32&lt;=$B$6+$B$7,$H$7*$B$10^$I$7,$H$7*$B$11^$I$7)))</f>
        <v/>
      </c>
      <c r="L32" s="29">
        <f>IF(A32&gt;$B$5+$B$6+$B$7,0,IF(A32=1,0,$B$14))</f>
        <v/>
      </c>
      <c r="M32" s="29">
        <f>IF(A32&gt;$B$5+$B$6+$B$7,0,IF(A32&gt;$B$6+$B$7,-$B$14-$B$13/K32,IF(A32&gt;$B$6,-$B$14-$B$13*$B$15/K32,-$B$14-($B$13*$B$15+$B$12)/K32)))</f>
        <v/>
      </c>
      <c r="N32" s="29">
        <f>IF(A32&gt;$B$5+$B$6+$B$7,0,IF(A32+1&gt;$B$5+$B$6+$B$7,0,IF(A32&gt;$B$6+$B$7,$B$13/K33,IF(A32&gt;=$B$6,$B$13*$B$15/K33,($B$13*$B$15+$B$12)/K33))))</f>
        <v/>
      </c>
      <c r="O32" s="29">
        <f>IF(A32&gt;$B$5+$B$6+$B$7,0,IF(A32=$B$6,-$M$7*$B$12,0))</f>
        <v/>
      </c>
      <c r="P32" s="29">
        <f>IF(A32&gt;$B$5+$B$6+$B$7,0,N32/(M32-L32*P31))</f>
        <v/>
      </c>
      <c r="Q32" s="29">
        <f>IF(A32&gt;$B$5+$B$6+$B$7,0,(O32-L32*Q31)/(M32-L32*P31))</f>
        <v/>
      </c>
      <c r="R32" s="30">
        <f>IF(A32&gt;$B$5+$B$6+$B$7,0,Q32-P32*R33)</f>
        <v/>
      </c>
      <c r="S32" s="29">
        <f>IF(A32&gt;$B$5+$B$6+$B$7,0,IF(A32&lt;=$B$6,$H$8*$B$9^$I$8,IF(A32&lt;=$B$6+$B$7,$H$8*$B$10^$I$8,$H$8*$B$11^$I$8)))</f>
        <v/>
      </c>
      <c r="T32" s="29">
        <f>IF(A32&gt;$B$5+$B$6+$B$7,0,IF(A32=1,0,$B$14))</f>
        <v/>
      </c>
      <c r="U32" s="29">
        <f>IF(A32&gt;$B$5+$B$6+$B$7,0,IF(A32&gt;$B$6+$B$7,-$B$14-$B$13/S32,IF(A32&gt;$B$6,-$B$14-$B$13*$B$15/S32,-$B$14-($B$13*$B$15+$B$12)/S32)))</f>
        <v/>
      </c>
      <c r="V32" s="29">
        <f>IF(A32&gt;$B$5+$B$6+$B$7,0,IF(A32+1&gt;$B$5+$B$6+$B$7,0,IF(A32&gt;$B$6+$B$7,$B$13/S33,IF(A32&gt;=$B$6,$B$13*$B$15/S33,($B$13*$B$15+$B$12)/S33))))</f>
        <v/>
      </c>
      <c r="W32" s="29">
        <f>IF(A32&gt;$B$5+$B$6+$B$7,0,IF(A32=$B$6,-$M$8*$B$12,0))</f>
        <v/>
      </c>
      <c r="X32" s="29">
        <f>IF(A32&gt;$B$5+$B$6+$B$7,0,V32/(U32-T32*X31))</f>
        <v/>
      </c>
      <c r="Y32" s="29">
        <f>IF(A32&gt;$B$5+$B$6+$B$7,0,(W32-T32*Y31)/(U32-T32*X31))</f>
        <v/>
      </c>
      <c r="Z32" s="30">
        <f>IF(A32&gt;$B$5+$B$6+$B$7,0,Y32-X32*Z33)</f>
        <v/>
      </c>
      <c r="AA32" s="29">
        <f>IF(A32&gt;$B$5+$B$6+$B$7,0,IF(A32&lt;=$B$6,$H$9*$B$9^$I$9,IF(A32&lt;=$B$6+$B$7,$H$9*$B$10^$I$9,$H$9*$B$11^$I$9)))</f>
        <v/>
      </c>
      <c r="AB32" s="29">
        <f>IF(A32&gt;$B$5+$B$6+$B$7,0,IF(A32=1,0,$B$14))</f>
        <v/>
      </c>
      <c r="AC32" s="29">
        <f>IF(A32&gt;$B$5+$B$6+$B$7,0,IF(A32&gt;$B$6+$B$7,-$B$14-$B$13/AA32,IF(A32&gt;$B$6,-$B$14-$B$13*$B$15/AA32,-$B$14-($B$13*$B$15+$B$12)/AA32)))</f>
        <v/>
      </c>
      <c r="AD32" s="29">
        <f>IF(A32&gt;$B$5+$B$6+$B$7,0,IF(A32+1&gt;$B$5+$B$6+$B$7,0,IF(A32&gt;$B$6+$B$7,$B$13/AA33,IF(A32&gt;=$B$6,$B$13*$B$15/AA33,($B$13*$B$15+$B$12)/AA33))))</f>
        <v/>
      </c>
      <c r="AE32" s="29">
        <f>IF(A32&gt;$B$5+$B$6+$B$7,0,IF(A32=$B$6,-$M$9*$B$12,0))</f>
        <v/>
      </c>
      <c r="AF32" s="29">
        <f>IF(A32&gt;$B$5+$B$6+$B$7,0,AD32/(AC32-AB32*AF31))</f>
        <v/>
      </c>
      <c r="AG32" s="29">
        <f>IF(A32&gt;$B$5+$B$6+$B$7,0,(AE32-AB32*AG31)/(AC32-AB32*AF31))</f>
        <v/>
      </c>
      <c r="AH32" s="30">
        <f>IF(A32&gt;$B$5+$B$6+$B$7,0,AG32-AF32*AH33)</f>
        <v/>
      </c>
      <c r="AI32" s="31">
        <f>IF(A32&gt;$B$5+$B$6+$B$7,0,IF(C32&lt;&gt;0,J32/C32,0))</f>
        <v/>
      </c>
      <c r="AJ32" s="31">
        <f>IF(A32&gt;$B$5+$B$6+$B$7,0,IF(K32&lt;&gt;0,R32/K32,0))</f>
        <v/>
      </c>
      <c r="AK32" s="31">
        <f>IF(A32&gt;$B$5+$B$6+$B$7,0,IF(S32&lt;&gt;0,Z32/S32,0))</f>
        <v/>
      </c>
      <c r="AL32" s="31">
        <f>IF(A32&gt;$B$5+$B$6+$B$7,0,IF(AA32&lt;&gt;0,AH32/AA32,0))</f>
        <v/>
      </c>
      <c r="AM32" s="30">
        <f>J32+R32+Z32+AH32</f>
        <v/>
      </c>
      <c r="AN32" s="30">
        <f>AI32+AJ32+AK32+AL32</f>
        <v/>
      </c>
    </row>
    <row r="33">
      <c r="A33" s="27" t="n">
        <v>14</v>
      </c>
      <c r="B33" s="28">
        <f>IF(A33&gt;$B$5+$B$6+$B$7,"—",IF(A33&lt;=$B$6,"Extraction",IF(A33&lt;=$B$6+$B$7,"Scrub","Strip")))</f>
        <v/>
      </c>
      <c r="C33" s="29">
        <f>IF(A33&gt;$B$5+$B$6+$B$7,0,IF(A33&lt;=$B$6,$H$6*$B$9^$I$6,IF(A33&lt;=$B$6+$B$7,$H$6*$B$10^$I$6,$H$6*$B$11^$I$6)))</f>
        <v/>
      </c>
      <c r="D33" s="29">
        <f>IF(A33&gt;$B$5+$B$6+$B$7,0,IF(A33=1,0,$B$14))</f>
        <v/>
      </c>
      <c r="E33" s="29">
        <f>IF(A33&gt;$B$5+$B$6+$B$7,0,IF(A33&gt;$B$6+$B$7,-$B$14-$B$13/C33,IF(A33&gt;$B$6,-$B$14-$B$13*$B$15/C33,-$B$14-($B$13*$B$15+$B$12)/C33)))</f>
        <v/>
      </c>
      <c r="F33" s="29">
        <f>IF(A33&gt;$B$5+$B$6+$B$7,0,IF(A33+1&gt;$B$5+$B$6+$B$7,0,IF(A33&gt;$B$6+$B$7,$B$13/C34,IF(A33&gt;=$B$6,$B$13*$B$15/C34,($B$13*$B$15+$B$12)/C34))))</f>
        <v/>
      </c>
      <c r="G33" s="29">
        <f>IF(A33&gt;$B$5+$B$6+$B$7,0,IF(A33=$B$6,-$M$6*$B$12,0))</f>
        <v/>
      </c>
      <c r="H33" s="29">
        <f>IF(A33&gt;$B$5+$B$6+$B$7,0,F33/(E33-D33*H32))</f>
        <v/>
      </c>
      <c r="I33" s="29">
        <f>IF(A33&gt;$B$5+$B$6+$B$7,0,(G33-D33*I32)/(E33-D33*H32))</f>
        <v/>
      </c>
      <c r="J33" s="30">
        <f>IF(A33&gt;$B$5+$B$6+$B$7,0,I33-H33*J34)</f>
        <v/>
      </c>
      <c r="K33" s="29">
        <f>IF(A33&gt;$B$5+$B$6+$B$7,0,IF(A33&lt;=$B$6,$H$7*$B$9^$I$7,IF(A33&lt;=$B$6+$B$7,$H$7*$B$10^$I$7,$H$7*$B$11^$I$7)))</f>
        <v/>
      </c>
      <c r="L33" s="29">
        <f>IF(A33&gt;$B$5+$B$6+$B$7,0,IF(A33=1,0,$B$14))</f>
        <v/>
      </c>
      <c r="M33" s="29">
        <f>IF(A33&gt;$B$5+$B$6+$B$7,0,IF(A33&gt;$B$6+$B$7,-$B$14-$B$13/K33,IF(A33&gt;$B$6,-$B$14-$B$13*$B$15/K33,-$B$14-($B$13*$B$15+$B$12)/K33)))</f>
        <v/>
      </c>
      <c r="N33" s="29">
        <f>IF(A33&gt;$B$5+$B$6+$B$7,0,IF(A33+1&gt;$B$5+$B$6+$B$7,0,IF(A33&gt;$B$6+$B$7,$B$13/K34,IF(A33&gt;=$B$6,$B$13*$B$15/K34,($B$13*$B$15+$B$12)/K34))))</f>
        <v/>
      </c>
      <c r="O33" s="29">
        <f>IF(A33&gt;$B$5+$B$6+$B$7,0,IF(A33=$B$6,-$M$7*$B$12,0))</f>
        <v/>
      </c>
      <c r="P33" s="29">
        <f>IF(A33&gt;$B$5+$B$6+$B$7,0,N33/(M33-L33*P32))</f>
        <v/>
      </c>
      <c r="Q33" s="29">
        <f>IF(A33&gt;$B$5+$B$6+$B$7,0,(O33-L33*Q32)/(M33-L33*P32))</f>
        <v/>
      </c>
      <c r="R33" s="30">
        <f>IF(A33&gt;$B$5+$B$6+$B$7,0,Q33-P33*R34)</f>
        <v/>
      </c>
      <c r="S33" s="29">
        <f>IF(A33&gt;$B$5+$B$6+$B$7,0,IF(A33&lt;=$B$6,$H$8*$B$9^$I$8,IF(A33&lt;=$B$6+$B$7,$H$8*$B$10^$I$8,$H$8*$B$11^$I$8)))</f>
        <v/>
      </c>
      <c r="T33" s="29">
        <f>IF(A33&gt;$B$5+$B$6+$B$7,0,IF(A33=1,0,$B$14))</f>
        <v/>
      </c>
      <c r="U33" s="29">
        <f>IF(A33&gt;$B$5+$B$6+$B$7,0,IF(A33&gt;$B$6+$B$7,-$B$14-$B$13/S33,IF(A33&gt;$B$6,-$B$14-$B$13*$B$15/S33,-$B$14-($B$13*$B$15+$B$12)/S33)))</f>
        <v/>
      </c>
      <c r="V33" s="29">
        <f>IF(A33&gt;$B$5+$B$6+$B$7,0,IF(A33+1&gt;$B$5+$B$6+$B$7,0,IF(A33&gt;$B$6+$B$7,$B$13/S34,IF(A33&gt;=$B$6,$B$13*$B$15/S34,($B$13*$B$15+$B$12)/S34))))</f>
        <v/>
      </c>
      <c r="W33" s="29">
        <f>IF(A33&gt;$B$5+$B$6+$B$7,0,IF(A33=$B$6,-$M$8*$B$12,0))</f>
        <v/>
      </c>
      <c r="X33" s="29">
        <f>IF(A33&gt;$B$5+$B$6+$B$7,0,V33/(U33-T33*X32))</f>
        <v/>
      </c>
      <c r="Y33" s="29">
        <f>IF(A33&gt;$B$5+$B$6+$B$7,0,(W33-T33*Y32)/(U33-T33*X32))</f>
        <v/>
      </c>
      <c r="Z33" s="30">
        <f>IF(A33&gt;$B$5+$B$6+$B$7,0,Y33-X33*Z34)</f>
        <v/>
      </c>
      <c r="AA33" s="29">
        <f>IF(A33&gt;$B$5+$B$6+$B$7,0,IF(A33&lt;=$B$6,$H$9*$B$9^$I$9,IF(A33&lt;=$B$6+$B$7,$H$9*$B$10^$I$9,$H$9*$B$11^$I$9)))</f>
        <v/>
      </c>
      <c r="AB33" s="29">
        <f>IF(A33&gt;$B$5+$B$6+$B$7,0,IF(A33=1,0,$B$14))</f>
        <v/>
      </c>
      <c r="AC33" s="29">
        <f>IF(A33&gt;$B$5+$B$6+$B$7,0,IF(A33&gt;$B$6+$B$7,-$B$14-$B$13/AA33,IF(A33&gt;$B$6,-$B$14-$B$13*$B$15/AA33,-$B$14-($B$13*$B$15+$B$12)/AA33)))</f>
        <v/>
      </c>
      <c r="AD33" s="29">
        <f>IF(A33&gt;$B$5+$B$6+$B$7,0,IF(A33+1&gt;$B$5+$B$6+$B$7,0,IF(A33&gt;$B$6+$B$7,$B$13/AA34,IF(A33&gt;=$B$6,$B$13*$B$15/AA34,($B$13*$B$15+$B$12)/AA34))))</f>
        <v/>
      </c>
      <c r="AE33" s="29">
        <f>IF(A33&gt;$B$5+$B$6+$B$7,0,IF(A33=$B$6,-$M$9*$B$12,0))</f>
        <v/>
      </c>
      <c r="AF33" s="29">
        <f>IF(A33&gt;$B$5+$B$6+$B$7,0,AD33/(AC33-AB33*AF32))</f>
        <v/>
      </c>
      <c r="AG33" s="29">
        <f>IF(A33&gt;$B$5+$B$6+$B$7,0,(AE33-AB33*AG32)/(AC33-AB33*AF32))</f>
        <v/>
      </c>
      <c r="AH33" s="30">
        <f>IF(A33&gt;$B$5+$B$6+$B$7,0,AG33-AF33*AH34)</f>
        <v/>
      </c>
      <c r="AI33" s="31">
        <f>IF(A33&gt;$B$5+$B$6+$B$7,0,IF(C33&lt;&gt;0,J33/C33,0))</f>
        <v/>
      </c>
      <c r="AJ33" s="31">
        <f>IF(A33&gt;$B$5+$B$6+$B$7,0,IF(K33&lt;&gt;0,R33/K33,0))</f>
        <v/>
      </c>
      <c r="AK33" s="31">
        <f>IF(A33&gt;$B$5+$B$6+$B$7,0,IF(S33&lt;&gt;0,Z33/S33,0))</f>
        <v/>
      </c>
      <c r="AL33" s="31">
        <f>IF(A33&gt;$B$5+$B$6+$B$7,0,IF(AA33&lt;&gt;0,AH33/AA33,0))</f>
        <v/>
      </c>
      <c r="AM33" s="30">
        <f>J33+R33+Z33+AH33</f>
        <v/>
      </c>
      <c r="AN33" s="30">
        <f>AI33+AJ33+AK33+AL33</f>
        <v/>
      </c>
    </row>
    <row r="34">
      <c r="A34" s="27" t="n">
        <v>15</v>
      </c>
      <c r="B34" s="28">
        <f>IF(A34&gt;$B$5+$B$6+$B$7,"—",IF(A34&lt;=$B$6,"Extraction",IF(A34&lt;=$B$6+$B$7,"Scrub","Strip")))</f>
        <v/>
      </c>
      <c r="C34" s="29">
        <f>IF(A34&gt;$B$5+$B$6+$B$7,0,IF(A34&lt;=$B$6,$H$6*$B$9^$I$6,IF(A34&lt;=$B$6+$B$7,$H$6*$B$10^$I$6,$H$6*$B$11^$I$6)))</f>
        <v/>
      </c>
      <c r="D34" s="29">
        <f>IF(A34&gt;$B$5+$B$6+$B$7,0,IF(A34=1,0,$B$14))</f>
        <v/>
      </c>
      <c r="E34" s="29">
        <f>IF(A34&gt;$B$5+$B$6+$B$7,0,IF(A34&gt;$B$6+$B$7,-$B$14-$B$13/C34,IF(A34&gt;$B$6,-$B$14-$B$13*$B$15/C34,-$B$14-($B$13*$B$15+$B$12)/C34)))</f>
        <v/>
      </c>
      <c r="F34" s="29">
        <f>IF(A34&gt;$B$5+$B$6+$B$7,0,IF(A34+1&gt;$B$5+$B$6+$B$7,0,IF(A34&gt;$B$6+$B$7,$B$13/C35,IF(A34&gt;=$B$6,$B$13*$B$15/C35,($B$13*$B$15+$B$12)/C35))))</f>
        <v/>
      </c>
      <c r="G34" s="29">
        <f>IF(A34&gt;$B$5+$B$6+$B$7,0,IF(A34=$B$6,-$M$6*$B$12,0))</f>
        <v/>
      </c>
      <c r="H34" s="29">
        <f>IF(A34&gt;$B$5+$B$6+$B$7,0,F34/(E34-D34*H33))</f>
        <v/>
      </c>
      <c r="I34" s="29">
        <f>IF(A34&gt;$B$5+$B$6+$B$7,0,(G34-D34*I33)/(E34-D34*H33))</f>
        <v/>
      </c>
      <c r="J34" s="30">
        <f>IF(A34&gt;$B$5+$B$6+$B$7,0,I34-H34*J35)</f>
        <v/>
      </c>
      <c r="K34" s="29">
        <f>IF(A34&gt;$B$5+$B$6+$B$7,0,IF(A34&lt;=$B$6,$H$7*$B$9^$I$7,IF(A34&lt;=$B$6+$B$7,$H$7*$B$10^$I$7,$H$7*$B$11^$I$7)))</f>
        <v/>
      </c>
      <c r="L34" s="29">
        <f>IF(A34&gt;$B$5+$B$6+$B$7,0,IF(A34=1,0,$B$14))</f>
        <v/>
      </c>
      <c r="M34" s="29">
        <f>IF(A34&gt;$B$5+$B$6+$B$7,0,IF(A34&gt;$B$6+$B$7,-$B$14-$B$13/K34,IF(A34&gt;$B$6,-$B$14-$B$13*$B$15/K34,-$B$14-($B$13*$B$15+$B$12)/K34)))</f>
        <v/>
      </c>
      <c r="N34" s="29">
        <f>IF(A34&gt;$B$5+$B$6+$B$7,0,IF(A34+1&gt;$B$5+$B$6+$B$7,0,IF(A34&gt;$B$6+$B$7,$B$13/K35,IF(A34&gt;=$B$6,$B$13*$B$15/K35,($B$13*$B$15+$B$12)/K35))))</f>
        <v/>
      </c>
      <c r="O34" s="29">
        <f>IF(A34&gt;$B$5+$B$6+$B$7,0,IF(A34=$B$6,-$M$7*$B$12,0))</f>
        <v/>
      </c>
      <c r="P34" s="29">
        <f>IF(A34&gt;$B$5+$B$6+$B$7,0,N34/(M34-L34*P33))</f>
        <v/>
      </c>
      <c r="Q34" s="29">
        <f>IF(A34&gt;$B$5+$B$6+$B$7,0,(O34-L34*Q33)/(M34-L34*P33))</f>
        <v/>
      </c>
      <c r="R34" s="30">
        <f>IF(A34&gt;$B$5+$B$6+$B$7,0,Q34-P34*R35)</f>
        <v/>
      </c>
      <c r="S34" s="29">
        <f>IF(A34&gt;$B$5+$B$6+$B$7,0,IF(A34&lt;=$B$6,$H$8*$B$9^$I$8,IF(A34&lt;=$B$6+$B$7,$H$8*$B$10^$I$8,$H$8*$B$11^$I$8)))</f>
        <v/>
      </c>
      <c r="T34" s="29">
        <f>IF(A34&gt;$B$5+$B$6+$B$7,0,IF(A34=1,0,$B$14))</f>
        <v/>
      </c>
      <c r="U34" s="29">
        <f>IF(A34&gt;$B$5+$B$6+$B$7,0,IF(A34&gt;$B$6+$B$7,-$B$14-$B$13/S34,IF(A34&gt;$B$6,-$B$14-$B$13*$B$15/S34,-$B$14-($B$13*$B$15+$B$12)/S34)))</f>
        <v/>
      </c>
      <c r="V34" s="29">
        <f>IF(A34&gt;$B$5+$B$6+$B$7,0,IF(A34+1&gt;$B$5+$B$6+$B$7,0,IF(A34&gt;$B$6+$B$7,$B$13/S35,IF(A34&gt;=$B$6,$B$13*$B$15/S35,($B$13*$B$15+$B$12)/S35))))</f>
        <v/>
      </c>
      <c r="W34" s="29">
        <f>IF(A34&gt;$B$5+$B$6+$B$7,0,IF(A34=$B$6,-$M$8*$B$12,0))</f>
        <v/>
      </c>
      <c r="X34" s="29">
        <f>IF(A34&gt;$B$5+$B$6+$B$7,0,V34/(U34-T34*X33))</f>
        <v/>
      </c>
      <c r="Y34" s="29">
        <f>IF(A34&gt;$B$5+$B$6+$B$7,0,(W34-T34*Y33)/(U34-T34*X33))</f>
        <v/>
      </c>
      <c r="Z34" s="30">
        <f>IF(A34&gt;$B$5+$B$6+$B$7,0,Y34-X34*Z35)</f>
        <v/>
      </c>
      <c r="AA34" s="29">
        <f>IF(A34&gt;$B$5+$B$6+$B$7,0,IF(A34&lt;=$B$6,$H$9*$B$9^$I$9,IF(A34&lt;=$B$6+$B$7,$H$9*$B$10^$I$9,$H$9*$B$11^$I$9)))</f>
        <v/>
      </c>
      <c r="AB34" s="29">
        <f>IF(A34&gt;$B$5+$B$6+$B$7,0,IF(A34=1,0,$B$14))</f>
        <v/>
      </c>
      <c r="AC34" s="29">
        <f>IF(A34&gt;$B$5+$B$6+$B$7,0,IF(A34&gt;$B$6+$B$7,-$B$14-$B$13/AA34,IF(A34&gt;$B$6,-$B$14-$B$13*$B$15/AA34,-$B$14-($B$13*$B$15+$B$12)/AA34)))</f>
        <v/>
      </c>
      <c r="AD34" s="29">
        <f>IF(A34&gt;$B$5+$B$6+$B$7,0,IF(A34+1&gt;$B$5+$B$6+$B$7,0,IF(A34&gt;$B$6+$B$7,$B$13/AA35,IF(A34&gt;=$B$6,$B$13*$B$15/AA35,($B$13*$B$15+$B$12)/AA35))))</f>
        <v/>
      </c>
      <c r="AE34" s="29">
        <f>IF(A34&gt;$B$5+$B$6+$B$7,0,IF(A34=$B$6,-$M$9*$B$12,0))</f>
        <v/>
      </c>
      <c r="AF34" s="29">
        <f>IF(A34&gt;$B$5+$B$6+$B$7,0,AD34/(AC34-AB34*AF33))</f>
        <v/>
      </c>
      <c r="AG34" s="29">
        <f>IF(A34&gt;$B$5+$B$6+$B$7,0,(AE34-AB34*AG33)/(AC34-AB34*AF33))</f>
        <v/>
      </c>
      <c r="AH34" s="30">
        <f>IF(A34&gt;$B$5+$B$6+$B$7,0,AG34-AF34*AH35)</f>
        <v/>
      </c>
      <c r="AI34" s="31">
        <f>IF(A34&gt;$B$5+$B$6+$B$7,0,IF(C34&lt;&gt;0,J34/C34,0))</f>
        <v/>
      </c>
      <c r="AJ34" s="31">
        <f>IF(A34&gt;$B$5+$B$6+$B$7,0,IF(K34&lt;&gt;0,R34/K34,0))</f>
        <v/>
      </c>
      <c r="AK34" s="31">
        <f>IF(A34&gt;$B$5+$B$6+$B$7,0,IF(S34&lt;&gt;0,Z34/S34,0))</f>
        <v/>
      </c>
      <c r="AL34" s="31">
        <f>IF(A34&gt;$B$5+$B$6+$B$7,0,IF(AA34&lt;&gt;0,AH34/AA34,0))</f>
        <v/>
      </c>
      <c r="AM34" s="30">
        <f>J34+R34+Z34+AH34</f>
        <v/>
      </c>
      <c r="AN34" s="30">
        <f>AI34+AJ34+AK34+AL34</f>
        <v/>
      </c>
    </row>
    <row r="35">
      <c r="A35" s="27" t="n">
        <v>16</v>
      </c>
      <c r="B35" s="28">
        <f>IF(A35&gt;$B$5+$B$6+$B$7,"—",IF(A35&lt;=$B$6,"Extraction",IF(A35&lt;=$B$6+$B$7,"Scrub","Strip")))</f>
        <v/>
      </c>
      <c r="C35" s="29">
        <f>IF(A35&gt;$B$5+$B$6+$B$7,0,IF(A35&lt;=$B$6,$H$6*$B$9^$I$6,IF(A35&lt;=$B$6+$B$7,$H$6*$B$10^$I$6,$H$6*$B$11^$I$6)))</f>
        <v/>
      </c>
      <c r="D35" s="29">
        <f>IF(A35&gt;$B$5+$B$6+$B$7,0,IF(A35=1,0,$B$14))</f>
        <v/>
      </c>
      <c r="E35" s="29">
        <f>IF(A35&gt;$B$5+$B$6+$B$7,0,IF(A35&gt;$B$6+$B$7,-$B$14-$B$13/C35,IF(A35&gt;$B$6,-$B$14-$B$13*$B$15/C35,-$B$14-($B$13*$B$15+$B$12)/C35)))</f>
        <v/>
      </c>
      <c r="F35" s="29">
        <f>IF(A35&gt;$B$5+$B$6+$B$7,0,IF(A35+1&gt;$B$5+$B$6+$B$7,0,IF(A35&gt;$B$6+$B$7,$B$13/C36,IF(A35&gt;=$B$6,$B$13*$B$15/C36,($B$13*$B$15+$B$12)/C36))))</f>
        <v/>
      </c>
      <c r="G35" s="29">
        <f>IF(A35&gt;$B$5+$B$6+$B$7,0,IF(A35=$B$6,-$M$6*$B$12,0))</f>
        <v/>
      </c>
      <c r="H35" s="29">
        <f>IF(A35&gt;$B$5+$B$6+$B$7,0,F35/(E35-D35*H34))</f>
        <v/>
      </c>
      <c r="I35" s="29">
        <f>IF(A35&gt;$B$5+$B$6+$B$7,0,(G35-D35*I34)/(E35-D35*H34))</f>
        <v/>
      </c>
      <c r="J35" s="30">
        <f>IF(A35&gt;$B$5+$B$6+$B$7,0,I35-H35*J36)</f>
        <v/>
      </c>
      <c r="K35" s="29">
        <f>IF(A35&gt;$B$5+$B$6+$B$7,0,IF(A35&lt;=$B$6,$H$7*$B$9^$I$7,IF(A35&lt;=$B$6+$B$7,$H$7*$B$10^$I$7,$H$7*$B$11^$I$7)))</f>
        <v/>
      </c>
      <c r="L35" s="29">
        <f>IF(A35&gt;$B$5+$B$6+$B$7,0,IF(A35=1,0,$B$14))</f>
        <v/>
      </c>
      <c r="M35" s="29">
        <f>IF(A35&gt;$B$5+$B$6+$B$7,0,IF(A35&gt;$B$6+$B$7,-$B$14-$B$13/K35,IF(A35&gt;$B$6,-$B$14-$B$13*$B$15/K35,-$B$14-($B$13*$B$15+$B$12)/K35)))</f>
        <v/>
      </c>
      <c r="N35" s="29">
        <f>IF(A35&gt;$B$5+$B$6+$B$7,0,IF(A35+1&gt;$B$5+$B$6+$B$7,0,IF(A35&gt;$B$6+$B$7,$B$13/K36,IF(A35&gt;=$B$6,$B$13*$B$15/K36,($B$13*$B$15+$B$12)/K36))))</f>
        <v/>
      </c>
      <c r="O35" s="29">
        <f>IF(A35&gt;$B$5+$B$6+$B$7,0,IF(A35=$B$6,-$M$7*$B$12,0))</f>
        <v/>
      </c>
      <c r="P35" s="29">
        <f>IF(A35&gt;$B$5+$B$6+$B$7,0,N35/(M35-L35*P34))</f>
        <v/>
      </c>
      <c r="Q35" s="29">
        <f>IF(A35&gt;$B$5+$B$6+$B$7,0,(O35-L35*Q34)/(M35-L35*P34))</f>
        <v/>
      </c>
      <c r="R35" s="30">
        <f>IF(A35&gt;$B$5+$B$6+$B$7,0,Q35-P35*R36)</f>
        <v/>
      </c>
      <c r="S35" s="29">
        <f>IF(A35&gt;$B$5+$B$6+$B$7,0,IF(A35&lt;=$B$6,$H$8*$B$9^$I$8,IF(A35&lt;=$B$6+$B$7,$H$8*$B$10^$I$8,$H$8*$B$11^$I$8)))</f>
        <v/>
      </c>
      <c r="T35" s="29">
        <f>IF(A35&gt;$B$5+$B$6+$B$7,0,IF(A35=1,0,$B$14))</f>
        <v/>
      </c>
      <c r="U35" s="29">
        <f>IF(A35&gt;$B$5+$B$6+$B$7,0,IF(A35&gt;$B$6+$B$7,-$B$14-$B$13/S35,IF(A35&gt;$B$6,-$B$14-$B$13*$B$15/S35,-$B$14-($B$13*$B$15+$B$12)/S35)))</f>
        <v/>
      </c>
      <c r="V35" s="29">
        <f>IF(A35&gt;$B$5+$B$6+$B$7,0,IF(A35+1&gt;$B$5+$B$6+$B$7,0,IF(A35&gt;$B$6+$B$7,$B$13/S36,IF(A35&gt;=$B$6,$B$13*$B$15/S36,($B$13*$B$15+$B$12)/S36))))</f>
        <v/>
      </c>
      <c r="W35" s="29">
        <f>IF(A35&gt;$B$5+$B$6+$B$7,0,IF(A35=$B$6,-$M$8*$B$12,0))</f>
        <v/>
      </c>
      <c r="X35" s="29">
        <f>IF(A35&gt;$B$5+$B$6+$B$7,0,V35/(U35-T35*X34))</f>
        <v/>
      </c>
      <c r="Y35" s="29">
        <f>IF(A35&gt;$B$5+$B$6+$B$7,0,(W35-T35*Y34)/(U35-T35*X34))</f>
        <v/>
      </c>
      <c r="Z35" s="30">
        <f>IF(A35&gt;$B$5+$B$6+$B$7,0,Y35-X35*Z36)</f>
        <v/>
      </c>
      <c r="AA35" s="29">
        <f>IF(A35&gt;$B$5+$B$6+$B$7,0,IF(A35&lt;=$B$6,$H$9*$B$9^$I$9,IF(A35&lt;=$B$6+$B$7,$H$9*$B$10^$I$9,$H$9*$B$11^$I$9)))</f>
        <v/>
      </c>
      <c r="AB35" s="29">
        <f>IF(A35&gt;$B$5+$B$6+$B$7,0,IF(A35=1,0,$B$14))</f>
        <v/>
      </c>
      <c r="AC35" s="29">
        <f>IF(A35&gt;$B$5+$B$6+$B$7,0,IF(A35&gt;$B$6+$B$7,-$B$14-$B$13/AA35,IF(A35&gt;$B$6,-$B$14-$B$13*$B$15/AA35,-$B$14-($B$13*$B$15+$B$12)/AA35)))</f>
        <v/>
      </c>
      <c r="AD35" s="29">
        <f>IF(A35&gt;$B$5+$B$6+$B$7,0,IF(A35+1&gt;$B$5+$B$6+$B$7,0,IF(A35&gt;$B$6+$B$7,$B$13/AA36,IF(A35&gt;=$B$6,$B$13*$B$15/AA36,($B$13*$B$15+$B$12)/AA36))))</f>
        <v/>
      </c>
      <c r="AE35" s="29">
        <f>IF(A35&gt;$B$5+$B$6+$B$7,0,IF(A35=$B$6,-$M$9*$B$12,0))</f>
        <v/>
      </c>
      <c r="AF35" s="29">
        <f>IF(A35&gt;$B$5+$B$6+$B$7,0,AD35/(AC35-AB35*AF34))</f>
        <v/>
      </c>
      <c r="AG35" s="29">
        <f>IF(A35&gt;$B$5+$B$6+$B$7,0,(AE35-AB35*AG34)/(AC35-AB35*AF34))</f>
        <v/>
      </c>
      <c r="AH35" s="30">
        <f>IF(A35&gt;$B$5+$B$6+$B$7,0,AG35-AF35*AH36)</f>
        <v/>
      </c>
      <c r="AI35" s="31">
        <f>IF(A35&gt;$B$5+$B$6+$B$7,0,IF(C35&lt;&gt;0,J35/C35,0))</f>
        <v/>
      </c>
      <c r="AJ35" s="31">
        <f>IF(A35&gt;$B$5+$B$6+$B$7,0,IF(K35&lt;&gt;0,R35/K35,0))</f>
        <v/>
      </c>
      <c r="AK35" s="31">
        <f>IF(A35&gt;$B$5+$B$6+$B$7,0,IF(S35&lt;&gt;0,Z35/S35,0))</f>
        <v/>
      </c>
      <c r="AL35" s="31">
        <f>IF(A35&gt;$B$5+$B$6+$B$7,0,IF(AA35&lt;&gt;0,AH35/AA35,0))</f>
        <v/>
      </c>
      <c r="AM35" s="30">
        <f>J35+R35+Z35+AH35</f>
        <v/>
      </c>
      <c r="AN35" s="30">
        <f>AI35+AJ35+AK35+AL35</f>
        <v/>
      </c>
    </row>
    <row r="36">
      <c r="A36" s="27" t="n">
        <v>17</v>
      </c>
      <c r="B36" s="28">
        <f>IF(A36&gt;$B$5+$B$6+$B$7,"—",IF(A36&lt;=$B$6,"Extraction",IF(A36&lt;=$B$6+$B$7,"Scrub","Strip")))</f>
        <v/>
      </c>
      <c r="C36" s="29">
        <f>IF(A36&gt;$B$5+$B$6+$B$7,0,IF(A36&lt;=$B$6,$H$6*$B$9^$I$6,IF(A36&lt;=$B$6+$B$7,$H$6*$B$10^$I$6,$H$6*$B$11^$I$6)))</f>
        <v/>
      </c>
      <c r="D36" s="29">
        <f>IF(A36&gt;$B$5+$B$6+$B$7,0,IF(A36=1,0,$B$14))</f>
        <v/>
      </c>
      <c r="E36" s="29">
        <f>IF(A36&gt;$B$5+$B$6+$B$7,0,IF(A36&gt;$B$6+$B$7,-$B$14-$B$13/C36,IF(A36&gt;$B$6,-$B$14-$B$13*$B$15/C36,-$B$14-($B$13*$B$15+$B$12)/C36)))</f>
        <v/>
      </c>
      <c r="F36" s="29">
        <f>IF(A36&gt;$B$5+$B$6+$B$7,0,IF(A36+1&gt;$B$5+$B$6+$B$7,0,IF(A36&gt;$B$6+$B$7,$B$13/C37,IF(A36&gt;=$B$6,$B$13*$B$15/C37,($B$13*$B$15+$B$12)/C37))))</f>
        <v/>
      </c>
      <c r="G36" s="29">
        <f>IF(A36&gt;$B$5+$B$6+$B$7,0,IF(A36=$B$6,-$M$6*$B$12,0))</f>
        <v/>
      </c>
      <c r="H36" s="29">
        <f>IF(A36&gt;$B$5+$B$6+$B$7,0,F36/(E36-D36*H35))</f>
        <v/>
      </c>
      <c r="I36" s="29">
        <f>IF(A36&gt;$B$5+$B$6+$B$7,0,(G36-D36*I35)/(E36-D36*H35))</f>
        <v/>
      </c>
      <c r="J36" s="30">
        <f>IF(A36&gt;$B$5+$B$6+$B$7,0,I36-H36*J37)</f>
        <v/>
      </c>
      <c r="K36" s="29">
        <f>IF(A36&gt;$B$5+$B$6+$B$7,0,IF(A36&lt;=$B$6,$H$7*$B$9^$I$7,IF(A36&lt;=$B$6+$B$7,$H$7*$B$10^$I$7,$H$7*$B$11^$I$7)))</f>
        <v/>
      </c>
      <c r="L36" s="29">
        <f>IF(A36&gt;$B$5+$B$6+$B$7,0,IF(A36=1,0,$B$14))</f>
        <v/>
      </c>
      <c r="M36" s="29">
        <f>IF(A36&gt;$B$5+$B$6+$B$7,0,IF(A36&gt;$B$6+$B$7,-$B$14-$B$13/K36,IF(A36&gt;$B$6,-$B$14-$B$13*$B$15/K36,-$B$14-($B$13*$B$15+$B$12)/K36)))</f>
        <v/>
      </c>
      <c r="N36" s="29">
        <f>IF(A36&gt;$B$5+$B$6+$B$7,0,IF(A36+1&gt;$B$5+$B$6+$B$7,0,IF(A36&gt;$B$6+$B$7,$B$13/K37,IF(A36&gt;=$B$6,$B$13*$B$15/K37,($B$13*$B$15+$B$12)/K37))))</f>
        <v/>
      </c>
      <c r="O36" s="29">
        <f>IF(A36&gt;$B$5+$B$6+$B$7,0,IF(A36=$B$6,-$M$7*$B$12,0))</f>
        <v/>
      </c>
      <c r="P36" s="29">
        <f>IF(A36&gt;$B$5+$B$6+$B$7,0,N36/(M36-L36*P35))</f>
        <v/>
      </c>
      <c r="Q36" s="29">
        <f>IF(A36&gt;$B$5+$B$6+$B$7,0,(O36-L36*Q35)/(M36-L36*P35))</f>
        <v/>
      </c>
      <c r="R36" s="30">
        <f>IF(A36&gt;$B$5+$B$6+$B$7,0,Q36-P36*R37)</f>
        <v/>
      </c>
      <c r="S36" s="29">
        <f>IF(A36&gt;$B$5+$B$6+$B$7,0,IF(A36&lt;=$B$6,$H$8*$B$9^$I$8,IF(A36&lt;=$B$6+$B$7,$H$8*$B$10^$I$8,$H$8*$B$11^$I$8)))</f>
        <v/>
      </c>
      <c r="T36" s="29">
        <f>IF(A36&gt;$B$5+$B$6+$B$7,0,IF(A36=1,0,$B$14))</f>
        <v/>
      </c>
      <c r="U36" s="29">
        <f>IF(A36&gt;$B$5+$B$6+$B$7,0,IF(A36&gt;$B$6+$B$7,-$B$14-$B$13/S36,IF(A36&gt;$B$6,-$B$14-$B$13*$B$15/S36,-$B$14-($B$13*$B$15+$B$12)/S36)))</f>
        <v/>
      </c>
      <c r="V36" s="29">
        <f>IF(A36&gt;$B$5+$B$6+$B$7,0,IF(A36+1&gt;$B$5+$B$6+$B$7,0,IF(A36&gt;$B$6+$B$7,$B$13/S37,IF(A36&gt;=$B$6,$B$13*$B$15/S37,($B$13*$B$15+$B$12)/S37))))</f>
        <v/>
      </c>
      <c r="W36" s="29">
        <f>IF(A36&gt;$B$5+$B$6+$B$7,0,IF(A36=$B$6,-$M$8*$B$12,0))</f>
        <v/>
      </c>
      <c r="X36" s="29">
        <f>IF(A36&gt;$B$5+$B$6+$B$7,0,V36/(U36-T36*X35))</f>
        <v/>
      </c>
      <c r="Y36" s="29">
        <f>IF(A36&gt;$B$5+$B$6+$B$7,0,(W36-T36*Y35)/(U36-T36*X35))</f>
        <v/>
      </c>
      <c r="Z36" s="30">
        <f>IF(A36&gt;$B$5+$B$6+$B$7,0,Y36-X36*Z37)</f>
        <v/>
      </c>
      <c r="AA36" s="29">
        <f>IF(A36&gt;$B$5+$B$6+$B$7,0,IF(A36&lt;=$B$6,$H$9*$B$9^$I$9,IF(A36&lt;=$B$6+$B$7,$H$9*$B$10^$I$9,$H$9*$B$11^$I$9)))</f>
        <v/>
      </c>
      <c r="AB36" s="29">
        <f>IF(A36&gt;$B$5+$B$6+$B$7,0,IF(A36=1,0,$B$14))</f>
        <v/>
      </c>
      <c r="AC36" s="29">
        <f>IF(A36&gt;$B$5+$B$6+$B$7,0,IF(A36&gt;$B$6+$B$7,-$B$14-$B$13/AA36,IF(A36&gt;$B$6,-$B$14-$B$13*$B$15/AA36,-$B$14-($B$13*$B$15+$B$12)/AA36)))</f>
        <v/>
      </c>
      <c r="AD36" s="29">
        <f>IF(A36&gt;$B$5+$B$6+$B$7,0,IF(A36+1&gt;$B$5+$B$6+$B$7,0,IF(A36&gt;$B$6+$B$7,$B$13/AA37,IF(A36&gt;=$B$6,$B$13*$B$15/AA37,($B$13*$B$15+$B$12)/AA37))))</f>
        <v/>
      </c>
      <c r="AE36" s="29">
        <f>IF(A36&gt;$B$5+$B$6+$B$7,0,IF(A36=$B$6,-$M$9*$B$12,0))</f>
        <v/>
      </c>
      <c r="AF36" s="29">
        <f>IF(A36&gt;$B$5+$B$6+$B$7,0,AD36/(AC36-AB36*AF35))</f>
        <v/>
      </c>
      <c r="AG36" s="29">
        <f>IF(A36&gt;$B$5+$B$6+$B$7,0,(AE36-AB36*AG35)/(AC36-AB36*AF35))</f>
        <v/>
      </c>
      <c r="AH36" s="30">
        <f>IF(A36&gt;$B$5+$B$6+$B$7,0,AG36-AF36*AH37)</f>
        <v/>
      </c>
      <c r="AI36" s="31">
        <f>IF(A36&gt;$B$5+$B$6+$B$7,0,IF(C36&lt;&gt;0,J36/C36,0))</f>
        <v/>
      </c>
      <c r="AJ36" s="31">
        <f>IF(A36&gt;$B$5+$B$6+$B$7,0,IF(K36&lt;&gt;0,R36/K36,0))</f>
        <v/>
      </c>
      <c r="AK36" s="31">
        <f>IF(A36&gt;$B$5+$B$6+$B$7,0,IF(S36&lt;&gt;0,Z36/S36,0))</f>
        <v/>
      </c>
      <c r="AL36" s="31">
        <f>IF(A36&gt;$B$5+$B$6+$B$7,0,IF(AA36&lt;&gt;0,AH36/AA36,0))</f>
        <v/>
      </c>
      <c r="AM36" s="30">
        <f>J36+R36+Z36+AH36</f>
        <v/>
      </c>
      <c r="AN36" s="30">
        <f>AI36+AJ36+AK36+AL36</f>
        <v/>
      </c>
    </row>
    <row r="37">
      <c r="A37" s="27" t="n">
        <v>18</v>
      </c>
      <c r="B37" s="28">
        <f>IF(A37&gt;$B$5+$B$6+$B$7,"—",IF(A37&lt;=$B$6,"Extraction",IF(A37&lt;=$B$6+$B$7,"Scrub","Strip")))</f>
        <v/>
      </c>
      <c r="C37" s="29">
        <f>IF(A37&gt;$B$5+$B$6+$B$7,0,IF(A37&lt;=$B$6,$H$6*$B$9^$I$6,IF(A37&lt;=$B$6+$B$7,$H$6*$B$10^$I$6,$H$6*$B$11^$I$6)))</f>
        <v/>
      </c>
      <c r="D37" s="29">
        <f>IF(A37&gt;$B$5+$B$6+$B$7,0,IF(A37=1,0,$B$14))</f>
        <v/>
      </c>
      <c r="E37" s="29">
        <f>IF(A37&gt;$B$5+$B$6+$B$7,0,IF(A37&gt;$B$6+$B$7,-$B$14-$B$13/C37,IF(A37&gt;$B$6,-$B$14-$B$13*$B$15/C37,-$B$14-($B$13*$B$15+$B$12)/C37)))</f>
        <v/>
      </c>
      <c r="F37" s="29">
        <f>IF(A37&gt;$B$5+$B$6+$B$7,0,IF(A37+1&gt;$B$5+$B$6+$B$7,0,IF(A37&gt;$B$6+$B$7,$B$13/C38,IF(A37&gt;=$B$6,$B$13*$B$15/C38,($B$13*$B$15+$B$12)/C38))))</f>
        <v/>
      </c>
      <c r="G37" s="29">
        <f>IF(A37&gt;$B$5+$B$6+$B$7,0,IF(A37=$B$6,-$M$6*$B$12,0))</f>
        <v/>
      </c>
      <c r="H37" s="29">
        <f>IF(A37&gt;$B$5+$B$6+$B$7,0,F37/(E37-D37*H36))</f>
        <v/>
      </c>
      <c r="I37" s="29">
        <f>IF(A37&gt;$B$5+$B$6+$B$7,0,(G37-D37*I36)/(E37-D37*H36))</f>
        <v/>
      </c>
      <c r="J37" s="30">
        <f>IF(A37&gt;$B$5+$B$6+$B$7,0,I37-H37*J38)</f>
        <v/>
      </c>
      <c r="K37" s="29">
        <f>IF(A37&gt;$B$5+$B$6+$B$7,0,IF(A37&lt;=$B$6,$H$7*$B$9^$I$7,IF(A37&lt;=$B$6+$B$7,$H$7*$B$10^$I$7,$H$7*$B$11^$I$7)))</f>
        <v/>
      </c>
      <c r="L37" s="29">
        <f>IF(A37&gt;$B$5+$B$6+$B$7,0,IF(A37=1,0,$B$14))</f>
        <v/>
      </c>
      <c r="M37" s="29">
        <f>IF(A37&gt;$B$5+$B$6+$B$7,0,IF(A37&gt;$B$6+$B$7,-$B$14-$B$13/K37,IF(A37&gt;$B$6,-$B$14-$B$13*$B$15/K37,-$B$14-($B$13*$B$15+$B$12)/K37)))</f>
        <v/>
      </c>
      <c r="N37" s="29">
        <f>IF(A37&gt;$B$5+$B$6+$B$7,0,IF(A37+1&gt;$B$5+$B$6+$B$7,0,IF(A37&gt;$B$6+$B$7,$B$13/K38,IF(A37&gt;=$B$6,$B$13*$B$15/K38,($B$13*$B$15+$B$12)/K38))))</f>
        <v/>
      </c>
      <c r="O37" s="29">
        <f>IF(A37&gt;$B$5+$B$6+$B$7,0,IF(A37=$B$6,-$M$7*$B$12,0))</f>
        <v/>
      </c>
      <c r="P37" s="29">
        <f>IF(A37&gt;$B$5+$B$6+$B$7,0,N37/(M37-L37*P36))</f>
        <v/>
      </c>
      <c r="Q37" s="29">
        <f>IF(A37&gt;$B$5+$B$6+$B$7,0,(O37-L37*Q36)/(M37-L37*P36))</f>
        <v/>
      </c>
      <c r="R37" s="30">
        <f>IF(A37&gt;$B$5+$B$6+$B$7,0,Q37-P37*R38)</f>
        <v/>
      </c>
      <c r="S37" s="29">
        <f>IF(A37&gt;$B$5+$B$6+$B$7,0,IF(A37&lt;=$B$6,$H$8*$B$9^$I$8,IF(A37&lt;=$B$6+$B$7,$H$8*$B$10^$I$8,$H$8*$B$11^$I$8)))</f>
        <v/>
      </c>
      <c r="T37" s="29">
        <f>IF(A37&gt;$B$5+$B$6+$B$7,0,IF(A37=1,0,$B$14))</f>
        <v/>
      </c>
      <c r="U37" s="29">
        <f>IF(A37&gt;$B$5+$B$6+$B$7,0,IF(A37&gt;$B$6+$B$7,-$B$14-$B$13/S37,IF(A37&gt;$B$6,-$B$14-$B$13*$B$15/S37,-$B$14-($B$13*$B$15+$B$12)/S37)))</f>
        <v/>
      </c>
      <c r="V37" s="29">
        <f>IF(A37&gt;$B$5+$B$6+$B$7,0,IF(A37+1&gt;$B$5+$B$6+$B$7,0,IF(A37&gt;$B$6+$B$7,$B$13/S38,IF(A37&gt;=$B$6,$B$13*$B$15/S38,($B$13*$B$15+$B$12)/S38))))</f>
        <v/>
      </c>
      <c r="W37" s="29">
        <f>IF(A37&gt;$B$5+$B$6+$B$7,0,IF(A37=$B$6,-$M$8*$B$12,0))</f>
        <v/>
      </c>
      <c r="X37" s="29">
        <f>IF(A37&gt;$B$5+$B$6+$B$7,0,V37/(U37-T37*X36))</f>
        <v/>
      </c>
      <c r="Y37" s="29">
        <f>IF(A37&gt;$B$5+$B$6+$B$7,0,(W37-T37*Y36)/(U37-T37*X36))</f>
        <v/>
      </c>
      <c r="Z37" s="30">
        <f>IF(A37&gt;$B$5+$B$6+$B$7,0,Y37-X37*Z38)</f>
        <v/>
      </c>
      <c r="AA37" s="29">
        <f>IF(A37&gt;$B$5+$B$6+$B$7,0,IF(A37&lt;=$B$6,$H$9*$B$9^$I$9,IF(A37&lt;=$B$6+$B$7,$H$9*$B$10^$I$9,$H$9*$B$11^$I$9)))</f>
        <v/>
      </c>
      <c r="AB37" s="29">
        <f>IF(A37&gt;$B$5+$B$6+$B$7,0,IF(A37=1,0,$B$14))</f>
        <v/>
      </c>
      <c r="AC37" s="29">
        <f>IF(A37&gt;$B$5+$B$6+$B$7,0,IF(A37&gt;$B$6+$B$7,-$B$14-$B$13/AA37,IF(A37&gt;$B$6,-$B$14-$B$13*$B$15/AA37,-$B$14-($B$13*$B$15+$B$12)/AA37)))</f>
        <v/>
      </c>
      <c r="AD37" s="29">
        <f>IF(A37&gt;$B$5+$B$6+$B$7,0,IF(A37+1&gt;$B$5+$B$6+$B$7,0,IF(A37&gt;$B$6+$B$7,$B$13/AA38,IF(A37&gt;=$B$6,$B$13*$B$15/AA38,($B$13*$B$15+$B$12)/AA38))))</f>
        <v/>
      </c>
      <c r="AE37" s="29">
        <f>IF(A37&gt;$B$5+$B$6+$B$7,0,IF(A37=$B$6,-$M$9*$B$12,0))</f>
        <v/>
      </c>
      <c r="AF37" s="29">
        <f>IF(A37&gt;$B$5+$B$6+$B$7,0,AD37/(AC37-AB37*AF36))</f>
        <v/>
      </c>
      <c r="AG37" s="29">
        <f>IF(A37&gt;$B$5+$B$6+$B$7,0,(AE37-AB37*AG36)/(AC37-AB37*AF36))</f>
        <v/>
      </c>
      <c r="AH37" s="30">
        <f>IF(A37&gt;$B$5+$B$6+$B$7,0,AG37-AF37*AH38)</f>
        <v/>
      </c>
      <c r="AI37" s="31">
        <f>IF(A37&gt;$B$5+$B$6+$B$7,0,IF(C37&lt;&gt;0,J37/C37,0))</f>
        <v/>
      </c>
      <c r="AJ37" s="31">
        <f>IF(A37&gt;$B$5+$B$6+$B$7,0,IF(K37&lt;&gt;0,R37/K37,0))</f>
        <v/>
      </c>
      <c r="AK37" s="31">
        <f>IF(A37&gt;$B$5+$B$6+$B$7,0,IF(S37&lt;&gt;0,Z37/S37,0))</f>
        <v/>
      </c>
      <c r="AL37" s="31">
        <f>IF(A37&gt;$B$5+$B$6+$B$7,0,IF(AA37&lt;&gt;0,AH37/AA37,0))</f>
        <v/>
      </c>
      <c r="AM37" s="30">
        <f>J37+R37+Z37+AH37</f>
        <v/>
      </c>
      <c r="AN37" s="30">
        <f>AI37+AJ37+AK37+AL37</f>
        <v/>
      </c>
    </row>
    <row r="38">
      <c r="A38" s="27" t="n">
        <v>19</v>
      </c>
      <c r="B38" s="28">
        <f>IF(A38&gt;$B$5+$B$6+$B$7,"—",IF(A38&lt;=$B$6,"Extraction",IF(A38&lt;=$B$6+$B$7,"Scrub","Strip")))</f>
        <v/>
      </c>
      <c r="C38" s="29">
        <f>IF(A38&gt;$B$5+$B$6+$B$7,0,IF(A38&lt;=$B$6,$H$6*$B$9^$I$6,IF(A38&lt;=$B$6+$B$7,$H$6*$B$10^$I$6,$H$6*$B$11^$I$6)))</f>
        <v/>
      </c>
      <c r="D38" s="29">
        <f>IF(A38&gt;$B$5+$B$6+$B$7,0,IF(A38=1,0,$B$14))</f>
        <v/>
      </c>
      <c r="E38" s="29">
        <f>IF(A38&gt;$B$5+$B$6+$B$7,0,IF(A38&gt;$B$6+$B$7,-$B$14-$B$13/C38,IF(A38&gt;$B$6,-$B$14-$B$13*$B$15/C38,-$B$14-($B$13*$B$15+$B$12)/C38)))</f>
        <v/>
      </c>
      <c r="F38" s="29">
        <f>IF(A38&gt;$B$5+$B$6+$B$7,0,IF(A38+1&gt;$B$5+$B$6+$B$7,0,IF(A38&gt;$B$6+$B$7,$B$13/C39,IF(A38&gt;=$B$6,$B$13*$B$15/C39,($B$13*$B$15+$B$12)/C39))))</f>
        <v/>
      </c>
      <c r="G38" s="29">
        <f>IF(A38&gt;$B$5+$B$6+$B$7,0,IF(A38=$B$6,-$M$6*$B$12,0))</f>
        <v/>
      </c>
      <c r="H38" s="29">
        <f>IF(A38&gt;$B$5+$B$6+$B$7,0,F38/(E38-D38*H37))</f>
        <v/>
      </c>
      <c r="I38" s="29">
        <f>IF(A38&gt;$B$5+$B$6+$B$7,0,(G38-D38*I37)/(E38-D38*H37))</f>
        <v/>
      </c>
      <c r="J38" s="30">
        <f>IF(A38&gt;$B$5+$B$6+$B$7,0,I38-H38*J39)</f>
        <v/>
      </c>
      <c r="K38" s="29">
        <f>IF(A38&gt;$B$5+$B$6+$B$7,0,IF(A38&lt;=$B$6,$H$7*$B$9^$I$7,IF(A38&lt;=$B$6+$B$7,$H$7*$B$10^$I$7,$H$7*$B$11^$I$7)))</f>
        <v/>
      </c>
      <c r="L38" s="29">
        <f>IF(A38&gt;$B$5+$B$6+$B$7,0,IF(A38=1,0,$B$14))</f>
        <v/>
      </c>
      <c r="M38" s="29">
        <f>IF(A38&gt;$B$5+$B$6+$B$7,0,IF(A38&gt;$B$6+$B$7,-$B$14-$B$13/K38,IF(A38&gt;$B$6,-$B$14-$B$13*$B$15/K38,-$B$14-($B$13*$B$15+$B$12)/K38)))</f>
        <v/>
      </c>
      <c r="N38" s="29">
        <f>IF(A38&gt;$B$5+$B$6+$B$7,0,IF(A38+1&gt;$B$5+$B$6+$B$7,0,IF(A38&gt;$B$6+$B$7,$B$13/K39,IF(A38&gt;=$B$6,$B$13*$B$15/K39,($B$13*$B$15+$B$12)/K39))))</f>
        <v/>
      </c>
      <c r="O38" s="29">
        <f>IF(A38&gt;$B$5+$B$6+$B$7,0,IF(A38=$B$6,-$M$7*$B$12,0))</f>
        <v/>
      </c>
      <c r="P38" s="29">
        <f>IF(A38&gt;$B$5+$B$6+$B$7,0,N38/(M38-L38*P37))</f>
        <v/>
      </c>
      <c r="Q38" s="29">
        <f>IF(A38&gt;$B$5+$B$6+$B$7,0,(O38-L38*Q37)/(M38-L38*P37))</f>
        <v/>
      </c>
      <c r="R38" s="30">
        <f>IF(A38&gt;$B$5+$B$6+$B$7,0,Q38-P38*R39)</f>
        <v/>
      </c>
      <c r="S38" s="29">
        <f>IF(A38&gt;$B$5+$B$6+$B$7,0,IF(A38&lt;=$B$6,$H$8*$B$9^$I$8,IF(A38&lt;=$B$6+$B$7,$H$8*$B$10^$I$8,$H$8*$B$11^$I$8)))</f>
        <v/>
      </c>
      <c r="T38" s="29">
        <f>IF(A38&gt;$B$5+$B$6+$B$7,0,IF(A38=1,0,$B$14))</f>
        <v/>
      </c>
      <c r="U38" s="29">
        <f>IF(A38&gt;$B$5+$B$6+$B$7,0,IF(A38&gt;$B$6+$B$7,-$B$14-$B$13/S38,IF(A38&gt;$B$6,-$B$14-$B$13*$B$15/S38,-$B$14-($B$13*$B$15+$B$12)/S38)))</f>
        <v/>
      </c>
      <c r="V38" s="29">
        <f>IF(A38&gt;$B$5+$B$6+$B$7,0,IF(A38+1&gt;$B$5+$B$6+$B$7,0,IF(A38&gt;$B$6+$B$7,$B$13/S39,IF(A38&gt;=$B$6,$B$13*$B$15/S39,($B$13*$B$15+$B$12)/S39))))</f>
        <v/>
      </c>
      <c r="W38" s="29">
        <f>IF(A38&gt;$B$5+$B$6+$B$7,0,IF(A38=$B$6,-$M$8*$B$12,0))</f>
        <v/>
      </c>
      <c r="X38" s="29">
        <f>IF(A38&gt;$B$5+$B$6+$B$7,0,V38/(U38-T38*X37))</f>
        <v/>
      </c>
      <c r="Y38" s="29">
        <f>IF(A38&gt;$B$5+$B$6+$B$7,0,(W38-T38*Y37)/(U38-T38*X37))</f>
        <v/>
      </c>
      <c r="Z38" s="30">
        <f>IF(A38&gt;$B$5+$B$6+$B$7,0,Y38-X38*Z39)</f>
        <v/>
      </c>
      <c r="AA38" s="29">
        <f>IF(A38&gt;$B$5+$B$6+$B$7,0,IF(A38&lt;=$B$6,$H$9*$B$9^$I$9,IF(A38&lt;=$B$6+$B$7,$H$9*$B$10^$I$9,$H$9*$B$11^$I$9)))</f>
        <v/>
      </c>
      <c r="AB38" s="29">
        <f>IF(A38&gt;$B$5+$B$6+$B$7,0,IF(A38=1,0,$B$14))</f>
        <v/>
      </c>
      <c r="AC38" s="29">
        <f>IF(A38&gt;$B$5+$B$6+$B$7,0,IF(A38&gt;$B$6+$B$7,-$B$14-$B$13/AA38,IF(A38&gt;$B$6,-$B$14-$B$13*$B$15/AA38,-$B$14-($B$13*$B$15+$B$12)/AA38)))</f>
        <v/>
      </c>
      <c r="AD38" s="29">
        <f>IF(A38&gt;$B$5+$B$6+$B$7,0,IF(A38+1&gt;$B$5+$B$6+$B$7,0,IF(A38&gt;$B$6+$B$7,$B$13/AA39,IF(A38&gt;=$B$6,$B$13*$B$15/AA39,($B$13*$B$15+$B$12)/AA39))))</f>
        <v/>
      </c>
      <c r="AE38" s="29">
        <f>IF(A38&gt;$B$5+$B$6+$B$7,0,IF(A38=$B$6,-$M$9*$B$12,0))</f>
        <v/>
      </c>
      <c r="AF38" s="29">
        <f>IF(A38&gt;$B$5+$B$6+$B$7,0,AD38/(AC38-AB38*AF37))</f>
        <v/>
      </c>
      <c r="AG38" s="29">
        <f>IF(A38&gt;$B$5+$B$6+$B$7,0,(AE38-AB38*AG37)/(AC38-AB38*AF37))</f>
        <v/>
      </c>
      <c r="AH38" s="30">
        <f>IF(A38&gt;$B$5+$B$6+$B$7,0,AG38-AF38*AH39)</f>
        <v/>
      </c>
      <c r="AI38" s="31">
        <f>IF(A38&gt;$B$5+$B$6+$B$7,0,IF(C38&lt;&gt;0,J38/C38,0))</f>
        <v/>
      </c>
      <c r="AJ38" s="31">
        <f>IF(A38&gt;$B$5+$B$6+$B$7,0,IF(K38&lt;&gt;0,R38/K38,0))</f>
        <v/>
      </c>
      <c r="AK38" s="31">
        <f>IF(A38&gt;$B$5+$B$6+$B$7,0,IF(S38&lt;&gt;0,Z38/S38,0))</f>
        <v/>
      </c>
      <c r="AL38" s="31">
        <f>IF(A38&gt;$B$5+$B$6+$B$7,0,IF(AA38&lt;&gt;0,AH38/AA38,0))</f>
        <v/>
      </c>
      <c r="AM38" s="30">
        <f>J38+R38+Z38+AH38</f>
        <v/>
      </c>
      <c r="AN38" s="30">
        <f>AI38+AJ38+AK38+AL38</f>
        <v/>
      </c>
    </row>
    <row r="39">
      <c r="A39" s="27" t="n">
        <v>20</v>
      </c>
      <c r="B39" s="28">
        <f>IF(A39&gt;$B$5+$B$6+$B$7,"—",IF(A39&lt;=$B$6,"Extraction",IF(A39&lt;=$B$6+$B$7,"Scrub","Strip")))</f>
        <v/>
      </c>
      <c r="C39" s="29">
        <f>IF(A39&gt;$B$5+$B$6+$B$7,0,IF(A39&lt;=$B$6,$H$6*$B$9^$I$6,IF(A39&lt;=$B$6+$B$7,$H$6*$B$10^$I$6,$H$6*$B$11^$I$6)))</f>
        <v/>
      </c>
      <c r="D39" s="29">
        <f>IF(A39&gt;$B$5+$B$6+$B$7,0,IF(A39=1,0,$B$14))</f>
        <v/>
      </c>
      <c r="E39" s="29">
        <f>IF(A39&gt;$B$5+$B$6+$B$7,0,IF(A39&gt;$B$6+$B$7,-$B$14-$B$13/C39,IF(A39&gt;$B$6,-$B$14-$B$13*$B$15/C39,-$B$14-($B$13*$B$15+$B$12)/C39)))</f>
        <v/>
      </c>
      <c r="F39" s="29">
        <f>IF(A39&gt;$B$5+$B$6+$B$7,0,IF(A39+1&gt;$B$5+$B$6+$B$7,0,IF(A39&gt;$B$6+$B$7,$B$13/C40,IF(A39&gt;=$B$6,$B$13*$B$15/C40,($B$13*$B$15+$B$12)/C40))))</f>
        <v/>
      </c>
      <c r="G39" s="29">
        <f>IF(A39&gt;$B$5+$B$6+$B$7,0,IF(A39=$B$6,-$M$6*$B$12,0))</f>
        <v/>
      </c>
      <c r="H39" s="29">
        <f>IF(A39&gt;$B$5+$B$6+$B$7,0,F39/(E39-D39*H38))</f>
        <v/>
      </c>
      <c r="I39" s="29">
        <f>IF(A39&gt;$B$5+$B$6+$B$7,0,(G39-D39*I38)/(E39-D39*H38))</f>
        <v/>
      </c>
      <c r="J39" s="30">
        <f>IF(A39&gt;$B$5+$B$6+$B$7,0,I39-H39*J40)</f>
        <v/>
      </c>
      <c r="K39" s="29">
        <f>IF(A39&gt;$B$5+$B$6+$B$7,0,IF(A39&lt;=$B$6,$H$7*$B$9^$I$7,IF(A39&lt;=$B$6+$B$7,$H$7*$B$10^$I$7,$H$7*$B$11^$I$7)))</f>
        <v/>
      </c>
      <c r="L39" s="29">
        <f>IF(A39&gt;$B$5+$B$6+$B$7,0,IF(A39=1,0,$B$14))</f>
        <v/>
      </c>
      <c r="M39" s="29">
        <f>IF(A39&gt;$B$5+$B$6+$B$7,0,IF(A39&gt;$B$6+$B$7,-$B$14-$B$13/K39,IF(A39&gt;$B$6,-$B$14-$B$13*$B$15/K39,-$B$14-($B$13*$B$15+$B$12)/K39)))</f>
        <v/>
      </c>
      <c r="N39" s="29">
        <f>IF(A39&gt;$B$5+$B$6+$B$7,0,IF(A39+1&gt;$B$5+$B$6+$B$7,0,IF(A39&gt;$B$6+$B$7,$B$13/K40,IF(A39&gt;=$B$6,$B$13*$B$15/K40,($B$13*$B$15+$B$12)/K40))))</f>
        <v/>
      </c>
      <c r="O39" s="29">
        <f>IF(A39&gt;$B$5+$B$6+$B$7,0,IF(A39=$B$6,-$M$7*$B$12,0))</f>
        <v/>
      </c>
      <c r="P39" s="29">
        <f>IF(A39&gt;$B$5+$B$6+$B$7,0,N39/(M39-L39*P38))</f>
        <v/>
      </c>
      <c r="Q39" s="29">
        <f>IF(A39&gt;$B$5+$B$6+$B$7,0,(O39-L39*Q38)/(M39-L39*P38))</f>
        <v/>
      </c>
      <c r="R39" s="30">
        <f>IF(A39&gt;$B$5+$B$6+$B$7,0,Q39-P39*R40)</f>
        <v/>
      </c>
      <c r="S39" s="29">
        <f>IF(A39&gt;$B$5+$B$6+$B$7,0,IF(A39&lt;=$B$6,$H$8*$B$9^$I$8,IF(A39&lt;=$B$6+$B$7,$H$8*$B$10^$I$8,$H$8*$B$11^$I$8)))</f>
        <v/>
      </c>
      <c r="T39" s="29">
        <f>IF(A39&gt;$B$5+$B$6+$B$7,0,IF(A39=1,0,$B$14))</f>
        <v/>
      </c>
      <c r="U39" s="29">
        <f>IF(A39&gt;$B$5+$B$6+$B$7,0,IF(A39&gt;$B$6+$B$7,-$B$14-$B$13/S39,IF(A39&gt;$B$6,-$B$14-$B$13*$B$15/S39,-$B$14-($B$13*$B$15+$B$12)/S39)))</f>
        <v/>
      </c>
      <c r="V39" s="29">
        <f>IF(A39&gt;$B$5+$B$6+$B$7,0,IF(A39+1&gt;$B$5+$B$6+$B$7,0,IF(A39&gt;$B$6+$B$7,$B$13/S40,IF(A39&gt;=$B$6,$B$13*$B$15/S40,($B$13*$B$15+$B$12)/S40))))</f>
        <v/>
      </c>
      <c r="W39" s="29">
        <f>IF(A39&gt;$B$5+$B$6+$B$7,0,IF(A39=$B$6,-$M$8*$B$12,0))</f>
        <v/>
      </c>
      <c r="X39" s="29">
        <f>IF(A39&gt;$B$5+$B$6+$B$7,0,V39/(U39-T39*X38))</f>
        <v/>
      </c>
      <c r="Y39" s="29">
        <f>IF(A39&gt;$B$5+$B$6+$B$7,0,(W39-T39*Y38)/(U39-T39*X38))</f>
        <v/>
      </c>
      <c r="Z39" s="30">
        <f>IF(A39&gt;$B$5+$B$6+$B$7,0,Y39-X39*Z40)</f>
        <v/>
      </c>
      <c r="AA39" s="29">
        <f>IF(A39&gt;$B$5+$B$6+$B$7,0,IF(A39&lt;=$B$6,$H$9*$B$9^$I$9,IF(A39&lt;=$B$6+$B$7,$H$9*$B$10^$I$9,$H$9*$B$11^$I$9)))</f>
        <v/>
      </c>
      <c r="AB39" s="29">
        <f>IF(A39&gt;$B$5+$B$6+$B$7,0,IF(A39=1,0,$B$14))</f>
        <v/>
      </c>
      <c r="AC39" s="29">
        <f>IF(A39&gt;$B$5+$B$6+$B$7,0,IF(A39&gt;$B$6+$B$7,-$B$14-$B$13/AA39,IF(A39&gt;$B$6,-$B$14-$B$13*$B$15/AA39,-$B$14-($B$13*$B$15+$B$12)/AA39)))</f>
        <v/>
      </c>
      <c r="AD39" s="29">
        <f>IF(A39&gt;$B$5+$B$6+$B$7,0,IF(A39+1&gt;$B$5+$B$6+$B$7,0,IF(A39&gt;$B$6+$B$7,$B$13/AA40,IF(A39&gt;=$B$6,$B$13*$B$15/AA40,($B$13*$B$15+$B$12)/AA40))))</f>
        <v/>
      </c>
      <c r="AE39" s="29">
        <f>IF(A39&gt;$B$5+$B$6+$B$7,0,IF(A39=$B$6,-$M$9*$B$12,0))</f>
        <v/>
      </c>
      <c r="AF39" s="29">
        <f>IF(A39&gt;$B$5+$B$6+$B$7,0,AD39/(AC39-AB39*AF38))</f>
        <v/>
      </c>
      <c r="AG39" s="29">
        <f>IF(A39&gt;$B$5+$B$6+$B$7,0,(AE39-AB39*AG38)/(AC39-AB39*AF38))</f>
        <v/>
      </c>
      <c r="AH39" s="30">
        <f>IF(A39&gt;$B$5+$B$6+$B$7,0,AG39-AF39*AH40)</f>
        <v/>
      </c>
      <c r="AI39" s="31">
        <f>IF(A39&gt;$B$5+$B$6+$B$7,0,IF(C39&lt;&gt;0,J39/C39,0))</f>
        <v/>
      </c>
      <c r="AJ39" s="31">
        <f>IF(A39&gt;$B$5+$B$6+$B$7,0,IF(K39&lt;&gt;0,R39/K39,0))</f>
        <v/>
      </c>
      <c r="AK39" s="31">
        <f>IF(A39&gt;$B$5+$B$6+$B$7,0,IF(S39&lt;&gt;0,Z39/S39,0))</f>
        <v/>
      </c>
      <c r="AL39" s="31">
        <f>IF(A39&gt;$B$5+$B$6+$B$7,0,IF(AA39&lt;&gt;0,AH39/AA39,0))</f>
        <v/>
      </c>
      <c r="AM39" s="30">
        <f>J39+R39+Z39+AH39</f>
        <v/>
      </c>
      <c r="AN39" s="30">
        <f>AI39+AJ39+AK39+AL39</f>
        <v/>
      </c>
    </row>
    <row r="40">
      <c r="A40" s="27" t="n">
        <v>21</v>
      </c>
      <c r="B40" s="28">
        <f>IF(A40&gt;$B$5+$B$6+$B$7,"—",IF(A40&lt;=$B$6,"Extraction",IF(A40&lt;=$B$6+$B$7,"Scrub","Strip")))</f>
        <v/>
      </c>
      <c r="C40" s="29">
        <f>IF(A40&gt;$B$5+$B$6+$B$7,0,IF(A40&lt;=$B$6,$H$6*$B$9^$I$6,IF(A40&lt;=$B$6+$B$7,$H$6*$B$10^$I$6,$H$6*$B$11^$I$6)))</f>
        <v/>
      </c>
      <c r="D40" s="29">
        <f>IF(A40&gt;$B$5+$B$6+$B$7,0,IF(A40=1,0,$B$14))</f>
        <v/>
      </c>
      <c r="E40" s="29">
        <f>IF(A40&gt;$B$5+$B$6+$B$7,0,IF(A40&gt;$B$6+$B$7,-$B$14-$B$13/C40,IF(A40&gt;$B$6,-$B$14-$B$13*$B$15/C40,-$B$14-($B$13*$B$15+$B$12)/C40)))</f>
        <v/>
      </c>
      <c r="F40" s="29">
        <f>IF(A40&gt;$B$5+$B$6+$B$7,0,IF(A40+1&gt;$B$5+$B$6+$B$7,0,IF(A40&gt;$B$6+$B$7,$B$13/C41,IF(A40&gt;=$B$6,$B$13*$B$15/C41,($B$13*$B$15+$B$12)/C41))))</f>
        <v/>
      </c>
      <c r="G40" s="29">
        <f>IF(A40&gt;$B$5+$B$6+$B$7,0,IF(A40=$B$6,-$M$6*$B$12,0))</f>
        <v/>
      </c>
      <c r="H40" s="29">
        <f>IF(A40&gt;$B$5+$B$6+$B$7,0,F40/(E40-D40*H39))</f>
        <v/>
      </c>
      <c r="I40" s="29">
        <f>IF(A40&gt;$B$5+$B$6+$B$7,0,(G40-D40*I39)/(E40-D40*H39))</f>
        <v/>
      </c>
      <c r="J40" s="30">
        <f>IF(A40&gt;$B$5+$B$6+$B$7,0,I40-H40*J41)</f>
        <v/>
      </c>
      <c r="K40" s="29">
        <f>IF(A40&gt;$B$5+$B$6+$B$7,0,IF(A40&lt;=$B$6,$H$7*$B$9^$I$7,IF(A40&lt;=$B$6+$B$7,$H$7*$B$10^$I$7,$H$7*$B$11^$I$7)))</f>
        <v/>
      </c>
      <c r="L40" s="29">
        <f>IF(A40&gt;$B$5+$B$6+$B$7,0,IF(A40=1,0,$B$14))</f>
        <v/>
      </c>
      <c r="M40" s="29">
        <f>IF(A40&gt;$B$5+$B$6+$B$7,0,IF(A40&gt;$B$6+$B$7,-$B$14-$B$13/K40,IF(A40&gt;$B$6,-$B$14-$B$13*$B$15/K40,-$B$14-($B$13*$B$15+$B$12)/K40)))</f>
        <v/>
      </c>
      <c r="N40" s="29">
        <f>IF(A40&gt;$B$5+$B$6+$B$7,0,IF(A40+1&gt;$B$5+$B$6+$B$7,0,IF(A40&gt;$B$6+$B$7,$B$13/K41,IF(A40&gt;=$B$6,$B$13*$B$15/K41,($B$13*$B$15+$B$12)/K41))))</f>
        <v/>
      </c>
      <c r="O40" s="29">
        <f>IF(A40&gt;$B$5+$B$6+$B$7,0,IF(A40=$B$6,-$M$7*$B$12,0))</f>
        <v/>
      </c>
      <c r="P40" s="29">
        <f>IF(A40&gt;$B$5+$B$6+$B$7,0,N40/(M40-L40*P39))</f>
        <v/>
      </c>
      <c r="Q40" s="29">
        <f>IF(A40&gt;$B$5+$B$6+$B$7,0,(O40-L40*Q39)/(M40-L40*P39))</f>
        <v/>
      </c>
      <c r="R40" s="30">
        <f>IF(A40&gt;$B$5+$B$6+$B$7,0,Q40-P40*R41)</f>
        <v/>
      </c>
      <c r="S40" s="29">
        <f>IF(A40&gt;$B$5+$B$6+$B$7,0,IF(A40&lt;=$B$6,$H$8*$B$9^$I$8,IF(A40&lt;=$B$6+$B$7,$H$8*$B$10^$I$8,$H$8*$B$11^$I$8)))</f>
        <v/>
      </c>
      <c r="T40" s="29">
        <f>IF(A40&gt;$B$5+$B$6+$B$7,0,IF(A40=1,0,$B$14))</f>
        <v/>
      </c>
      <c r="U40" s="29">
        <f>IF(A40&gt;$B$5+$B$6+$B$7,0,IF(A40&gt;$B$6+$B$7,-$B$14-$B$13/S40,IF(A40&gt;$B$6,-$B$14-$B$13*$B$15/S40,-$B$14-($B$13*$B$15+$B$12)/S40)))</f>
        <v/>
      </c>
      <c r="V40" s="29">
        <f>IF(A40&gt;$B$5+$B$6+$B$7,0,IF(A40+1&gt;$B$5+$B$6+$B$7,0,IF(A40&gt;$B$6+$B$7,$B$13/S41,IF(A40&gt;=$B$6,$B$13*$B$15/S41,($B$13*$B$15+$B$12)/S41))))</f>
        <v/>
      </c>
      <c r="W40" s="29">
        <f>IF(A40&gt;$B$5+$B$6+$B$7,0,IF(A40=$B$6,-$M$8*$B$12,0))</f>
        <v/>
      </c>
      <c r="X40" s="29">
        <f>IF(A40&gt;$B$5+$B$6+$B$7,0,V40/(U40-T40*X39))</f>
        <v/>
      </c>
      <c r="Y40" s="29">
        <f>IF(A40&gt;$B$5+$B$6+$B$7,0,(W40-T40*Y39)/(U40-T40*X39))</f>
        <v/>
      </c>
      <c r="Z40" s="30">
        <f>IF(A40&gt;$B$5+$B$6+$B$7,0,Y40-X40*Z41)</f>
        <v/>
      </c>
      <c r="AA40" s="29">
        <f>IF(A40&gt;$B$5+$B$6+$B$7,0,IF(A40&lt;=$B$6,$H$9*$B$9^$I$9,IF(A40&lt;=$B$6+$B$7,$H$9*$B$10^$I$9,$H$9*$B$11^$I$9)))</f>
        <v/>
      </c>
      <c r="AB40" s="29">
        <f>IF(A40&gt;$B$5+$B$6+$B$7,0,IF(A40=1,0,$B$14))</f>
        <v/>
      </c>
      <c r="AC40" s="29">
        <f>IF(A40&gt;$B$5+$B$6+$B$7,0,IF(A40&gt;$B$6+$B$7,-$B$14-$B$13/AA40,IF(A40&gt;$B$6,-$B$14-$B$13*$B$15/AA40,-$B$14-($B$13*$B$15+$B$12)/AA40)))</f>
        <v/>
      </c>
      <c r="AD40" s="29">
        <f>IF(A40&gt;$B$5+$B$6+$B$7,0,IF(A40+1&gt;$B$5+$B$6+$B$7,0,IF(A40&gt;$B$6+$B$7,$B$13/AA41,IF(A40&gt;=$B$6,$B$13*$B$15/AA41,($B$13*$B$15+$B$12)/AA41))))</f>
        <v/>
      </c>
      <c r="AE40" s="29">
        <f>IF(A40&gt;$B$5+$B$6+$B$7,0,IF(A40=$B$6,-$M$9*$B$12,0))</f>
        <v/>
      </c>
      <c r="AF40" s="29">
        <f>IF(A40&gt;$B$5+$B$6+$B$7,0,AD40/(AC40-AB40*AF39))</f>
        <v/>
      </c>
      <c r="AG40" s="29">
        <f>IF(A40&gt;$B$5+$B$6+$B$7,0,(AE40-AB40*AG39)/(AC40-AB40*AF39))</f>
        <v/>
      </c>
      <c r="AH40" s="30">
        <f>IF(A40&gt;$B$5+$B$6+$B$7,0,AG40-AF40*AH41)</f>
        <v/>
      </c>
      <c r="AI40" s="31">
        <f>IF(A40&gt;$B$5+$B$6+$B$7,0,IF(C40&lt;&gt;0,J40/C40,0))</f>
        <v/>
      </c>
      <c r="AJ40" s="31">
        <f>IF(A40&gt;$B$5+$B$6+$B$7,0,IF(K40&lt;&gt;0,R40/K40,0))</f>
        <v/>
      </c>
      <c r="AK40" s="31">
        <f>IF(A40&gt;$B$5+$B$6+$B$7,0,IF(S40&lt;&gt;0,Z40/S40,0))</f>
        <v/>
      </c>
      <c r="AL40" s="31">
        <f>IF(A40&gt;$B$5+$B$6+$B$7,0,IF(AA40&lt;&gt;0,AH40/AA40,0))</f>
        <v/>
      </c>
      <c r="AM40" s="30">
        <f>J40+R40+Z40+AH40</f>
        <v/>
      </c>
      <c r="AN40" s="30">
        <f>AI40+AJ40+AK40+AL40</f>
        <v/>
      </c>
    </row>
    <row r="41">
      <c r="A41" s="27" t="n">
        <v>22</v>
      </c>
      <c r="B41" s="28">
        <f>IF(A41&gt;$B$5+$B$6+$B$7,"—",IF(A41&lt;=$B$6,"Extraction",IF(A41&lt;=$B$6+$B$7,"Scrub","Strip")))</f>
        <v/>
      </c>
      <c r="C41" s="29">
        <f>IF(A41&gt;$B$5+$B$6+$B$7,0,IF(A41&lt;=$B$6,$H$6*$B$9^$I$6,IF(A41&lt;=$B$6+$B$7,$H$6*$B$10^$I$6,$H$6*$B$11^$I$6)))</f>
        <v/>
      </c>
      <c r="D41" s="29">
        <f>IF(A41&gt;$B$5+$B$6+$B$7,0,IF(A41=1,0,$B$14))</f>
        <v/>
      </c>
      <c r="E41" s="29">
        <f>IF(A41&gt;$B$5+$B$6+$B$7,0,IF(A41&gt;$B$6+$B$7,-$B$14-$B$13/C41,IF(A41&gt;$B$6,-$B$14-$B$13*$B$15/C41,-$B$14-($B$13*$B$15+$B$12)/C41)))</f>
        <v/>
      </c>
      <c r="F41" s="29">
        <f>IF(A41&gt;$B$5+$B$6+$B$7,0,IF(A41+1&gt;$B$5+$B$6+$B$7,0,IF(A41&gt;$B$6+$B$7,$B$13/C42,IF(A41&gt;=$B$6,$B$13*$B$15/C42,($B$13*$B$15+$B$12)/C42))))</f>
        <v/>
      </c>
      <c r="G41" s="29">
        <f>IF(A41&gt;$B$5+$B$6+$B$7,0,IF(A41=$B$6,-$M$6*$B$12,0))</f>
        <v/>
      </c>
      <c r="H41" s="29">
        <f>IF(A41&gt;$B$5+$B$6+$B$7,0,F41/(E41-D41*H40))</f>
        <v/>
      </c>
      <c r="I41" s="29">
        <f>IF(A41&gt;$B$5+$B$6+$B$7,0,(G41-D41*I40)/(E41-D41*H40))</f>
        <v/>
      </c>
      <c r="J41" s="30">
        <f>IF(A41&gt;$B$5+$B$6+$B$7,0,I41-H41*J42)</f>
        <v/>
      </c>
      <c r="K41" s="29">
        <f>IF(A41&gt;$B$5+$B$6+$B$7,0,IF(A41&lt;=$B$6,$H$7*$B$9^$I$7,IF(A41&lt;=$B$6+$B$7,$H$7*$B$10^$I$7,$H$7*$B$11^$I$7)))</f>
        <v/>
      </c>
      <c r="L41" s="29">
        <f>IF(A41&gt;$B$5+$B$6+$B$7,0,IF(A41=1,0,$B$14))</f>
        <v/>
      </c>
      <c r="M41" s="29">
        <f>IF(A41&gt;$B$5+$B$6+$B$7,0,IF(A41&gt;$B$6+$B$7,-$B$14-$B$13/K41,IF(A41&gt;$B$6,-$B$14-$B$13*$B$15/K41,-$B$14-($B$13*$B$15+$B$12)/K41)))</f>
        <v/>
      </c>
      <c r="N41" s="29">
        <f>IF(A41&gt;$B$5+$B$6+$B$7,0,IF(A41+1&gt;$B$5+$B$6+$B$7,0,IF(A41&gt;$B$6+$B$7,$B$13/K42,IF(A41&gt;=$B$6,$B$13*$B$15/K42,($B$13*$B$15+$B$12)/K42))))</f>
        <v/>
      </c>
      <c r="O41" s="29">
        <f>IF(A41&gt;$B$5+$B$6+$B$7,0,IF(A41=$B$6,-$M$7*$B$12,0))</f>
        <v/>
      </c>
      <c r="P41" s="29">
        <f>IF(A41&gt;$B$5+$B$6+$B$7,0,N41/(M41-L41*P40))</f>
        <v/>
      </c>
      <c r="Q41" s="29">
        <f>IF(A41&gt;$B$5+$B$6+$B$7,0,(O41-L41*Q40)/(M41-L41*P40))</f>
        <v/>
      </c>
      <c r="R41" s="30">
        <f>IF(A41&gt;$B$5+$B$6+$B$7,0,Q41-P41*R42)</f>
        <v/>
      </c>
      <c r="S41" s="29">
        <f>IF(A41&gt;$B$5+$B$6+$B$7,0,IF(A41&lt;=$B$6,$H$8*$B$9^$I$8,IF(A41&lt;=$B$6+$B$7,$H$8*$B$10^$I$8,$H$8*$B$11^$I$8)))</f>
        <v/>
      </c>
      <c r="T41" s="29">
        <f>IF(A41&gt;$B$5+$B$6+$B$7,0,IF(A41=1,0,$B$14))</f>
        <v/>
      </c>
      <c r="U41" s="29">
        <f>IF(A41&gt;$B$5+$B$6+$B$7,0,IF(A41&gt;$B$6+$B$7,-$B$14-$B$13/S41,IF(A41&gt;$B$6,-$B$14-$B$13*$B$15/S41,-$B$14-($B$13*$B$15+$B$12)/S41)))</f>
        <v/>
      </c>
      <c r="V41" s="29">
        <f>IF(A41&gt;$B$5+$B$6+$B$7,0,IF(A41+1&gt;$B$5+$B$6+$B$7,0,IF(A41&gt;$B$6+$B$7,$B$13/S42,IF(A41&gt;=$B$6,$B$13*$B$15/S42,($B$13*$B$15+$B$12)/S42))))</f>
        <v/>
      </c>
      <c r="W41" s="29">
        <f>IF(A41&gt;$B$5+$B$6+$B$7,0,IF(A41=$B$6,-$M$8*$B$12,0))</f>
        <v/>
      </c>
      <c r="X41" s="29">
        <f>IF(A41&gt;$B$5+$B$6+$B$7,0,V41/(U41-T41*X40))</f>
        <v/>
      </c>
      <c r="Y41" s="29">
        <f>IF(A41&gt;$B$5+$B$6+$B$7,0,(W41-T41*Y40)/(U41-T41*X40))</f>
        <v/>
      </c>
      <c r="Z41" s="30">
        <f>IF(A41&gt;$B$5+$B$6+$B$7,0,Y41-X41*Z42)</f>
        <v/>
      </c>
      <c r="AA41" s="29">
        <f>IF(A41&gt;$B$5+$B$6+$B$7,0,IF(A41&lt;=$B$6,$H$9*$B$9^$I$9,IF(A41&lt;=$B$6+$B$7,$H$9*$B$10^$I$9,$H$9*$B$11^$I$9)))</f>
        <v/>
      </c>
      <c r="AB41" s="29">
        <f>IF(A41&gt;$B$5+$B$6+$B$7,0,IF(A41=1,0,$B$14))</f>
        <v/>
      </c>
      <c r="AC41" s="29">
        <f>IF(A41&gt;$B$5+$B$6+$B$7,0,IF(A41&gt;$B$6+$B$7,-$B$14-$B$13/AA41,IF(A41&gt;$B$6,-$B$14-$B$13*$B$15/AA41,-$B$14-($B$13*$B$15+$B$12)/AA41)))</f>
        <v/>
      </c>
      <c r="AD41" s="29">
        <f>IF(A41&gt;$B$5+$B$6+$B$7,0,IF(A41+1&gt;$B$5+$B$6+$B$7,0,IF(A41&gt;$B$6+$B$7,$B$13/AA42,IF(A41&gt;=$B$6,$B$13*$B$15/AA42,($B$13*$B$15+$B$12)/AA42))))</f>
        <v/>
      </c>
      <c r="AE41" s="29">
        <f>IF(A41&gt;$B$5+$B$6+$B$7,0,IF(A41=$B$6,-$M$9*$B$12,0))</f>
        <v/>
      </c>
      <c r="AF41" s="29">
        <f>IF(A41&gt;$B$5+$B$6+$B$7,0,AD41/(AC41-AB41*AF40))</f>
        <v/>
      </c>
      <c r="AG41" s="29">
        <f>IF(A41&gt;$B$5+$B$6+$B$7,0,(AE41-AB41*AG40)/(AC41-AB41*AF40))</f>
        <v/>
      </c>
      <c r="AH41" s="30">
        <f>IF(A41&gt;$B$5+$B$6+$B$7,0,AG41-AF41*AH42)</f>
        <v/>
      </c>
      <c r="AI41" s="31">
        <f>IF(A41&gt;$B$5+$B$6+$B$7,0,IF(C41&lt;&gt;0,J41/C41,0))</f>
        <v/>
      </c>
      <c r="AJ41" s="31">
        <f>IF(A41&gt;$B$5+$B$6+$B$7,0,IF(K41&lt;&gt;0,R41/K41,0))</f>
        <v/>
      </c>
      <c r="AK41" s="31">
        <f>IF(A41&gt;$B$5+$B$6+$B$7,0,IF(S41&lt;&gt;0,Z41/S41,0))</f>
        <v/>
      </c>
      <c r="AL41" s="31">
        <f>IF(A41&gt;$B$5+$B$6+$B$7,0,IF(AA41&lt;&gt;0,AH41/AA41,0))</f>
        <v/>
      </c>
      <c r="AM41" s="30">
        <f>J41+R41+Z41+AH41</f>
        <v/>
      </c>
      <c r="AN41" s="30">
        <f>AI41+AJ41+AK41+AL41</f>
        <v/>
      </c>
    </row>
    <row r="42">
      <c r="A42" s="27" t="n">
        <v>23</v>
      </c>
      <c r="B42" s="28">
        <f>IF(A42&gt;$B$5+$B$6+$B$7,"—",IF(A42&lt;=$B$6,"Extraction",IF(A42&lt;=$B$6+$B$7,"Scrub","Strip")))</f>
        <v/>
      </c>
      <c r="C42" s="29">
        <f>IF(A42&gt;$B$5+$B$6+$B$7,0,IF(A42&lt;=$B$6,$H$6*$B$9^$I$6,IF(A42&lt;=$B$6+$B$7,$H$6*$B$10^$I$6,$H$6*$B$11^$I$6)))</f>
        <v/>
      </c>
      <c r="D42" s="29">
        <f>IF(A42&gt;$B$5+$B$6+$B$7,0,IF(A42=1,0,$B$14))</f>
        <v/>
      </c>
      <c r="E42" s="29">
        <f>IF(A42&gt;$B$5+$B$6+$B$7,0,IF(A42&gt;$B$6+$B$7,-$B$14-$B$13/C42,IF(A42&gt;$B$6,-$B$14-$B$13*$B$15/C42,-$B$14-($B$13*$B$15+$B$12)/C42)))</f>
        <v/>
      </c>
      <c r="F42" s="29">
        <f>IF(A42&gt;$B$5+$B$6+$B$7,0,IF(A42+1&gt;$B$5+$B$6+$B$7,0,IF(A42&gt;$B$6+$B$7,$B$13/C43,IF(A42&gt;=$B$6,$B$13*$B$15/C43,($B$13*$B$15+$B$12)/C43))))</f>
        <v/>
      </c>
      <c r="G42" s="29">
        <f>IF(A42&gt;$B$5+$B$6+$B$7,0,IF(A42=$B$6,-$M$6*$B$12,0))</f>
        <v/>
      </c>
      <c r="H42" s="29">
        <f>IF(A42&gt;$B$5+$B$6+$B$7,0,F42/(E42-D42*H41))</f>
        <v/>
      </c>
      <c r="I42" s="29">
        <f>IF(A42&gt;$B$5+$B$6+$B$7,0,(G42-D42*I41)/(E42-D42*H41))</f>
        <v/>
      </c>
      <c r="J42" s="30">
        <f>IF(A42&gt;$B$5+$B$6+$B$7,0,I42-H42*J43)</f>
        <v/>
      </c>
      <c r="K42" s="29">
        <f>IF(A42&gt;$B$5+$B$6+$B$7,0,IF(A42&lt;=$B$6,$H$7*$B$9^$I$7,IF(A42&lt;=$B$6+$B$7,$H$7*$B$10^$I$7,$H$7*$B$11^$I$7)))</f>
        <v/>
      </c>
      <c r="L42" s="29">
        <f>IF(A42&gt;$B$5+$B$6+$B$7,0,IF(A42=1,0,$B$14))</f>
        <v/>
      </c>
      <c r="M42" s="29">
        <f>IF(A42&gt;$B$5+$B$6+$B$7,0,IF(A42&gt;$B$6+$B$7,-$B$14-$B$13/K42,IF(A42&gt;$B$6,-$B$14-$B$13*$B$15/K42,-$B$14-($B$13*$B$15+$B$12)/K42)))</f>
        <v/>
      </c>
      <c r="N42" s="29">
        <f>IF(A42&gt;$B$5+$B$6+$B$7,0,IF(A42+1&gt;$B$5+$B$6+$B$7,0,IF(A42&gt;$B$6+$B$7,$B$13/K43,IF(A42&gt;=$B$6,$B$13*$B$15/K43,($B$13*$B$15+$B$12)/K43))))</f>
        <v/>
      </c>
      <c r="O42" s="29">
        <f>IF(A42&gt;$B$5+$B$6+$B$7,0,IF(A42=$B$6,-$M$7*$B$12,0))</f>
        <v/>
      </c>
      <c r="P42" s="29">
        <f>IF(A42&gt;$B$5+$B$6+$B$7,0,N42/(M42-L42*P41))</f>
        <v/>
      </c>
      <c r="Q42" s="29">
        <f>IF(A42&gt;$B$5+$B$6+$B$7,0,(O42-L42*Q41)/(M42-L42*P41))</f>
        <v/>
      </c>
      <c r="R42" s="30">
        <f>IF(A42&gt;$B$5+$B$6+$B$7,0,Q42-P42*R43)</f>
        <v/>
      </c>
      <c r="S42" s="29">
        <f>IF(A42&gt;$B$5+$B$6+$B$7,0,IF(A42&lt;=$B$6,$H$8*$B$9^$I$8,IF(A42&lt;=$B$6+$B$7,$H$8*$B$10^$I$8,$H$8*$B$11^$I$8)))</f>
        <v/>
      </c>
      <c r="T42" s="29">
        <f>IF(A42&gt;$B$5+$B$6+$B$7,0,IF(A42=1,0,$B$14))</f>
        <v/>
      </c>
      <c r="U42" s="29">
        <f>IF(A42&gt;$B$5+$B$6+$B$7,0,IF(A42&gt;$B$6+$B$7,-$B$14-$B$13/S42,IF(A42&gt;$B$6,-$B$14-$B$13*$B$15/S42,-$B$14-($B$13*$B$15+$B$12)/S42)))</f>
        <v/>
      </c>
      <c r="V42" s="29">
        <f>IF(A42&gt;$B$5+$B$6+$B$7,0,IF(A42+1&gt;$B$5+$B$6+$B$7,0,IF(A42&gt;$B$6+$B$7,$B$13/S43,IF(A42&gt;=$B$6,$B$13*$B$15/S43,($B$13*$B$15+$B$12)/S43))))</f>
        <v/>
      </c>
      <c r="W42" s="29">
        <f>IF(A42&gt;$B$5+$B$6+$B$7,0,IF(A42=$B$6,-$M$8*$B$12,0))</f>
        <v/>
      </c>
      <c r="X42" s="29">
        <f>IF(A42&gt;$B$5+$B$6+$B$7,0,V42/(U42-T42*X41))</f>
        <v/>
      </c>
      <c r="Y42" s="29">
        <f>IF(A42&gt;$B$5+$B$6+$B$7,0,(W42-T42*Y41)/(U42-T42*X41))</f>
        <v/>
      </c>
      <c r="Z42" s="30">
        <f>IF(A42&gt;$B$5+$B$6+$B$7,0,Y42-X42*Z43)</f>
        <v/>
      </c>
      <c r="AA42" s="29">
        <f>IF(A42&gt;$B$5+$B$6+$B$7,0,IF(A42&lt;=$B$6,$H$9*$B$9^$I$9,IF(A42&lt;=$B$6+$B$7,$H$9*$B$10^$I$9,$H$9*$B$11^$I$9)))</f>
        <v/>
      </c>
      <c r="AB42" s="29">
        <f>IF(A42&gt;$B$5+$B$6+$B$7,0,IF(A42=1,0,$B$14))</f>
        <v/>
      </c>
      <c r="AC42" s="29">
        <f>IF(A42&gt;$B$5+$B$6+$B$7,0,IF(A42&gt;$B$6+$B$7,-$B$14-$B$13/AA42,IF(A42&gt;$B$6,-$B$14-$B$13*$B$15/AA42,-$B$14-($B$13*$B$15+$B$12)/AA42)))</f>
        <v/>
      </c>
      <c r="AD42" s="29">
        <f>IF(A42&gt;$B$5+$B$6+$B$7,0,IF(A42+1&gt;$B$5+$B$6+$B$7,0,IF(A42&gt;$B$6+$B$7,$B$13/AA43,IF(A42&gt;=$B$6,$B$13*$B$15/AA43,($B$13*$B$15+$B$12)/AA43))))</f>
        <v/>
      </c>
      <c r="AE42" s="29">
        <f>IF(A42&gt;$B$5+$B$6+$B$7,0,IF(A42=$B$6,-$M$9*$B$12,0))</f>
        <v/>
      </c>
      <c r="AF42" s="29">
        <f>IF(A42&gt;$B$5+$B$6+$B$7,0,AD42/(AC42-AB42*AF41))</f>
        <v/>
      </c>
      <c r="AG42" s="29">
        <f>IF(A42&gt;$B$5+$B$6+$B$7,0,(AE42-AB42*AG41)/(AC42-AB42*AF41))</f>
        <v/>
      </c>
      <c r="AH42" s="30">
        <f>IF(A42&gt;$B$5+$B$6+$B$7,0,AG42-AF42*AH43)</f>
        <v/>
      </c>
      <c r="AI42" s="31">
        <f>IF(A42&gt;$B$5+$B$6+$B$7,0,IF(C42&lt;&gt;0,J42/C42,0))</f>
        <v/>
      </c>
      <c r="AJ42" s="31">
        <f>IF(A42&gt;$B$5+$B$6+$B$7,0,IF(K42&lt;&gt;0,R42/K42,0))</f>
        <v/>
      </c>
      <c r="AK42" s="31">
        <f>IF(A42&gt;$B$5+$B$6+$B$7,0,IF(S42&lt;&gt;0,Z42/S42,0))</f>
        <v/>
      </c>
      <c r="AL42" s="31">
        <f>IF(A42&gt;$B$5+$B$6+$B$7,0,IF(AA42&lt;&gt;0,AH42/AA42,0))</f>
        <v/>
      </c>
      <c r="AM42" s="30">
        <f>J42+R42+Z42+AH42</f>
        <v/>
      </c>
      <c r="AN42" s="30">
        <f>AI42+AJ42+AK42+AL42</f>
        <v/>
      </c>
    </row>
    <row r="43">
      <c r="A43" s="27" t="n">
        <v>24</v>
      </c>
      <c r="B43" s="28">
        <f>IF(A43&gt;$B$5+$B$6+$B$7,"—",IF(A43&lt;=$B$6,"Extraction",IF(A43&lt;=$B$6+$B$7,"Scrub","Strip")))</f>
        <v/>
      </c>
      <c r="C43" s="29">
        <f>IF(A43&gt;$B$5+$B$6+$B$7,0,IF(A43&lt;=$B$6,$H$6*$B$9^$I$6,IF(A43&lt;=$B$6+$B$7,$H$6*$B$10^$I$6,$H$6*$B$11^$I$6)))</f>
        <v/>
      </c>
      <c r="D43" s="29">
        <f>IF(A43&gt;$B$5+$B$6+$B$7,0,IF(A43=1,0,$B$14))</f>
        <v/>
      </c>
      <c r="E43" s="29">
        <f>IF(A43&gt;$B$5+$B$6+$B$7,0,IF(A43&gt;$B$6+$B$7,-$B$14-$B$13/C43,IF(A43&gt;$B$6,-$B$14-$B$13*$B$15/C43,-$B$14-($B$13*$B$15+$B$12)/C43)))</f>
        <v/>
      </c>
      <c r="F43" s="29">
        <f>IF(A43&gt;$B$5+$B$6+$B$7,0,IF(A43+1&gt;$B$5+$B$6+$B$7,0,IF(A43&gt;$B$6+$B$7,$B$13/C44,IF(A43&gt;=$B$6,$B$13*$B$15/C44,($B$13*$B$15+$B$12)/C44))))</f>
        <v/>
      </c>
      <c r="G43" s="29">
        <f>IF(A43&gt;$B$5+$B$6+$B$7,0,IF(A43=$B$6,-$M$6*$B$12,0))</f>
        <v/>
      </c>
      <c r="H43" s="29">
        <f>IF(A43&gt;$B$5+$B$6+$B$7,0,F43/(E43-D43*H42))</f>
        <v/>
      </c>
      <c r="I43" s="29">
        <f>IF(A43&gt;$B$5+$B$6+$B$7,0,(G43-D43*I42)/(E43-D43*H42))</f>
        <v/>
      </c>
      <c r="J43" s="30">
        <f>IF(A43&gt;$B$5+$B$6+$B$7,0,I43-H43*J44)</f>
        <v/>
      </c>
      <c r="K43" s="29">
        <f>IF(A43&gt;$B$5+$B$6+$B$7,0,IF(A43&lt;=$B$6,$H$7*$B$9^$I$7,IF(A43&lt;=$B$6+$B$7,$H$7*$B$10^$I$7,$H$7*$B$11^$I$7)))</f>
        <v/>
      </c>
      <c r="L43" s="29">
        <f>IF(A43&gt;$B$5+$B$6+$B$7,0,IF(A43=1,0,$B$14))</f>
        <v/>
      </c>
      <c r="M43" s="29">
        <f>IF(A43&gt;$B$5+$B$6+$B$7,0,IF(A43&gt;$B$6+$B$7,-$B$14-$B$13/K43,IF(A43&gt;$B$6,-$B$14-$B$13*$B$15/K43,-$B$14-($B$13*$B$15+$B$12)/K43)))</f>
        <v/>
      </c>
      <c r="N43" s="29">
        <f>IF(A43&gt;$B$5+$B$6+$B$7,0,IF(A43+1&gt;$B$5+$B$6+$B$7,0,IF(A43&gt;$B$6+$B$7,$B$13/K44,IF(A43&gt;=$B$6,$B$13*$B$15/K44,($B$13*$B$15+$B$12)/K44))))</f>
        <v/>
      </c>
      <c r="O43" s="29">
        <f>IF(A43&gt;$B$5+$B$6+$B$7,0,IF(A43=$B$6,-$M$7*$B$12,0))</f>
        <v/>
      </c>
      <c r="P43" s="29">
        <f>IF(A43&gt;$B$5+$B$6+$B$7,0,N43/(M43-L43*P42))</f>
        <v/>
      </c>
      <c r="Q43" s="29">
        <f>IF(A43&gt;$B$5+$B$6+$B$7,0,(O43-L43*Q42)/(M43-L43*P42))</f>
        <v/>
      </c>
      <c r="R43" s="30">
        <f>IF(A43&gt;$B$5+$B$6+$B$7,0,Q43-P43*R44)</f>
        <v/>
      </c>
      <c r="S43" s="29">
        <f>IF(A43&gt;$B$5+$B$6+$B$7,0,IF(A43&lt;=$B$6,$H$8*$B$9^$I$8,IF(A43&lt;=$B$6+$B$7,$H$8*$B$10^$I$8,$H$8*$B$11^$I$8)))</f>
        <v/>
      </c>
      <c r="T43" s="29">
        <f>IF(A43&gt;$B$5+$B$6+$B$7,0,IF(A43=1,0,$B$14))</f>
        <v/>
      </c>
      <c r="U43" s="29">
        <f>IF(A43&gt;$B$5+$B$6+$B$7,0,IF(A43&gt;$B$6+$B$7,-$B$14-$B$13/S43,IF(A43&gt;$B$6,-$B$14-$B$13*$B$15/S43,-$B$14-($B$13*$B$15+$B$12)/S43)))</f>
        <v/>
      </c>
      <c r="V43" s="29">
        <f>IF(A43&gt;$B$5+$B$6+$B$7,0,IF(A43+1&gt;$B$5+$B$6+$B$7,0,IF(A43&gt;$B$6+$B$7,$B$13/S44,IF(A43&gt;=$B$6,$B$13*$B$15/S44,($B$13*$B$15+$B$12)/S44))))</f>
        <v/>
      </c>
      <c r="W43" s="29">
        <f>IF(A43&gt;$B$5+$B$6+$B$7,0,IF(A43=$B$6,-$M$8*$B$12,0))</f>
        <v/>
      </c>
      <c r="X43" s="29">
        <f>IF(A43&gt;$B$5+$B$6+$B$7,0,V43/(U43-T43*X42))</f>
        <v/>
      </c>
      <c r="Y43" s="29">
        <f>IF(A43&gt;$B$5+$B$6+$B$7,0,(W43-T43*Y42)/(U43-T43*X42))</f>
        <v/>
      </c>
      <c r="Z43" s="30">
        <f>IF(A43&gt;$B$5+$B$6+$B$7,0,Y43-X43*Z44)</f>
        <v/>
      </c>
      <c r="AA43" s="29">
        <f>IF(A43&gt;$B$5+$B$6+$B$7,0,IF(A43&lt;=$B$6,$H$9*$B$9^$I$9,IF(A43&lt;=$B$6+$B$7,$H$9*$B$10^$I$9,$H$9*$B$11^$I$9)))</f>
        <v/>
      </c>
      <c r="AB43" s="29">
        <f>IF(A43&gt;$B$5+$B$6+$B$7,0,IF(A43=1,0,$B$14))</f>
        <v/>
      </c>
      <c r="AC43" s="29">
        <f>IF(A43&gt;$B$5+$B$6+$B$7,0,IF(A43&gt;$B$6+$B$7,-$B$14-$B$13/AA43,IF(A43&gt;$B$6,-$B$14-$B$13*$B$15/AA43,-$B$14-($B$13*$B$15+$B$12)/AA43)))</f>
        <v/>
      </c>
      <c r="AD43" s="29">
        <f>IF(A43&gt;$B$5+$B$6+$B$7,0,IF(A43+1&gt;$B$5+$B$6+$B$7,0,IF(A43&gt;$B$6+$B$7,$B$13/AA44,IF(A43&gt;=$B$6,$B$13*$B$15/AA44,($B$13*$B$15+$B$12)/AA44))))</f>
        <v/>
      </c>
      <c r="AE43" s="29">
        <f>IF(A43&gt;$B$5+$B$6+$B$7,0,IF(A43=$B$6,-$M$9*$B$12,0))</f>
        <v/>
      </c>
      <c r="AF43" s="29">
        <f>IF(A43&gt;$B$5+$B$6+$B$7,0,AD43/(AC43-AB43*AF42))</f>
        <v/>
      </c>
      <c r="AG43" s="29">
        <f>IF(A43&gt;$B$5+$B$6+$B$7,0,(AE43-AB43*AG42)/(AC43-AB43*AF42))</f>
        <v/>
      </c>
      <c r="AH43" s="30">
        <f>IF(A43&gt;$B$5+$B$6+$B$7,0,AG43-AF43*AH44)</f>
        <v/>
      </c>
      <c r="AI43" s="31">
        <f>IF(A43&gt;$B$5+$B$6+$B$7,0,IF(C43&lt;&gt;0,J43/C43,0))</f>
        <v/>
      </c>
      <c r="AJ43" s="31">
        <f>IF(A43&gt;$B$5+$B$6+$B$7,0,IF(K43&lt;&gt;0,R43/K43,0))</f>
        <v/>
      </c>
      <c r="AK43" s="31">
        <f>IF(A43&gt;$B$5+$B$6+$B$7,0,IF(S43&lt;&gt;0,Z43/S43,0))</f>
        <v/>
      </c>
      <c r="AL43" s="31">
        <f>IF(A43&gt;$B$5+$B$6+$B$7,0,IF(AA43&lt;&gt;0,AH43/AA43,0))</f>
        <v/>
      </c>
      <c r="AM43" s="30">
        <f>J43+R43+Z43+AH43</f>
        <v/>
      </c>
      <c r="AN43" s="30">
        <f>AI43+AJ43+AK43+AL43</f>
        <v/>
      </c>
    </row>
    <row r="44">
      <c r="A44" s="27" t="n">
        <v>25</v>
      </c>
      <c r="B44" s="28">
        <f>IF(A44&gt;$B$5+$B$6+$B$7,"—",IF(A44&lt;=$B$6,"Extraction",IF(A44&lt;=$B$6+$B$7,"Scrub","Strip")))</f>
        <v/>
      </c>
      <c r="C44" s="29">
        <f>IF(A44&gt;$B$5+$B$6+$B$7,0,IF(A44&lt;=$B$6,$H$6*$B$9^$I$6,IF(A44&lt;=$B$6+$B$7,$H$6*$B$10^$I$6,$H$6*$B$11^$I$6)))</f>
        <v/>
      </c>
      <c r="D44" s="29">
        <f>IF(A44&gt;$B$5+$B$6+$B$7,0,IF(A44=1,0,$B$14))</f>
        <v/>
      </c>
      <c r="E44" s="29">
        <f>IF(A44&gt;$B$5+$B$6+$B$7,0,IF(A44&gt;$B$6+$B$7,-$B$14-$B$13/C44,IF(A44&gt;$B$6,-$B$14-$B$13*$B$15/C44,-$B$14-($B$13*$B$15+$B$12)/C44)))</f>
        <v/>
      </c>
      <c r="F44" s="29">
        <f>IF(A44&gt;$B$5+$B$6+$B$7,0,IF(A44+1&gt;$B$5+$B$6+$B$7,0,IF(A44&gt;$B$6+$B$7,$B$13/C45,IF(A44&gt;=$B$6,$B$13*$B$15/C45,($B$13*$B$15+$B$12)/C45))))</f>
        <v/>
      </c>
      <c r="G44" s="29">
        <f>IF(A44&gt;$B$5+$B$6+$B$7,0,IF(A44=$B$6,-$M$6*$B$12,0))</f>
        <v/>
      </c>
      <c r="H44" s="29">
        <f>IF(A44&gt;$B$5+$B$6+$B$7,0,F44/(E44-D44*H43))</f>
        <v/>
      </c>
      <c r="I44" s="29">
        <f>IF(A44&gt;$B$5+$B$6+$B$7,0,(G44-D44*I43)/(E44-D44*H43))</f>
        <v/>
      </c>
      <c r="J44" s="30">
        <f>IF(A44&gt;$B$5+$B$6+$B$7,0,I44-H44*J45)</f>
        <v/>
      </c>
      <c r="K44" s="29">
        <f>IF(A44&gt;$B$5+$B$6+$B$7,0,IF(A44&lt;=$B$6,$H$7*$B$9^$I$7,IF(A44&lt;=$B$6+$B$7,$H$7*$B$10^$I$7,$H$7*$B$11^$I$7)))</f>
        <v/>
      </c>
      <c r="L44" s="29">
        <f>IF(A44&gt;$B$5+$B$6+$B$7,0,IF(A44=1,0,$B$14))</f>
        <v/>
      </c>
      <c r="M44" s="29">
        <f>IF(A44&gt;$B$5+$B$6+$B$7,0,IF(A44&gt;$B$6+$B$7,-$B$14-$B$13/K44,IF(A44&gt;$B$6,-$B$14-$B$13*$B$15/K44,-$B$14-($B$13*$B$15+$B$12)/K44)))</f>
        <v/>
      </c>
      <c r="N44" s="29">
        <f>IF(A44&gt;$B$5+$B$6+$B$7,0,IF(A44+1&gt;$B$5+$B$6+$B$7,0,IF(A44&gt;$B$6+$B$7,$B$13/K45,IF(A44&gt;=$B$6,$B$13*$B$15/K45,($B$13*$B$15+$B$12)/K45))))</f>
        <v/>
      </c>
      <c r="O44" s="29">
        <f>IF(A44&gt;$B$5+$B$6+$B$7,0,IF(A44=$B$6,-$M$7*$B$12,0))</f>
        <v/>
      </c>
      <c r="P44" s="29">
        <f>IF(A44&gt;$B$5+$B$6+$B$7,0,N44/(M44-L44*P43))</f>
        <v/>
      </c>
      <c r="Q44" s="29">
        <f>IF(A44&gt;$B$5+$B$6+$B$7,0,(O44-L44*Q43)/(M44-L44*P43))</f>
        <v/>
      </c>
      <c r="R44" s="30">
        <f>IF(A44&gt;$B$5+$B$6+$B$7,0,Q44-P44*R45)</f>
        <v/>
      </c>
      <c r="S44" s="29">
        <f>IF(A44&gt;$B$5+$B$6+$B$7,0,IF(A44&lt;=$B$6,$H$8*$B$9^$I$8,IF(A44&lt;=$B$6+$B$7,$H$8*$B$10^$I$8,$H$8*$B$11^$I$8)))</f>
        <v/>
      </c>
      <c r="T44" s="29">
        <f>IF(A44&gt;$B$5+$B$6+$B$7,0,IF(A44=1,0,$B$14))</f>
        <v/>
      </c>
      <c r="U44" s="29">
        <f>IF(A44&gt;$B$5+$B$6+$B$7,0,IF(A44&gt;$B$6+$B$7,-$B$14-$B$13/S44,IF(A44&gt;$B$6,-$B$14-$B$13*$B$15/S44,-$B$14-($B$13*$B$15+$B$12)/S44)))</f>
        <v/>
      </c>
      <c r="V44" s="29">
        <f>IF(A44&gt;$B$5+$B$6+$B$7,0,IF(A44+1&gt;$B$5+$B$6+$B$7,0,IF(A44&gt;$B$6+$B$7,$B$13/S45,IF(A44&gt;=$B$6,$B$13*$B$15/S45,($B$13*$B$15+$B$12)/S45))))</f>
        <v/>
      </c>
      <c r="W44" s="29">
        <f>IF(A44&gt;$B$5+$B$6+$B$7,0,IF(A44=$B$6,-$M$8*$B$12,0))</f>
        <v/>
      </c>
      <c r="X44" s="29">
        <f>IF(A44&gt;$B$5+$B$6+$B$7,0,V44/(U44-T44*X43))</f>
        <v/>
      </c>
      <c r="Y44" s="29">
        <f>IF(A44&gt;$B$5+$B$6+$B$7,0,(W44-T44*Y43)/(U44-T44*X43))</f>
        <v/>
      </c>
      <c r="Z44" s="30">
        <f>IF(A44&gt;$B$5+$B$6+$B$7,0,Y44-X44*Z45)</f>
        <v/>
      </c>
      <c r="AA44" s="29">
        <f>IF(A44&gt;$B$5+$B$6+$B$7,0,IF(A44&lt;=$B$6,$H$9*$B$9^$I$9,IF(A44&lt;=$B$6+$B$7,$H$9*$B$10^$I$9,$H$9*$B$11^$I$9)))</f>
        <v/>
      </c>
      <c r="AB44" s="29">
        <f>IF(A44&gt;$B$5+$B$6+$B$7,0,IF(A44=1,0,$B$14))</f>
        <v/>
      </c>
      <c r="AC44" s="29">
        <f>IF(A44&gt;$B$5+$B$6+$B$7,0,IF(A44&gt;$B$6+$B$7,-$B$14-$B$13/AA44,IF(A44&gt;$B$6,-$B$14-$B$13*$B$15/AA44,-$B$14-($B$13*$B$15+$B$12)/AA44)))</f>
        <v/>
      </c>
      <c r="AD44" s="29">
        <f>IF(A44&gt;$B$5+$B$6+$B$7,0,IF(A44+1&gt;$B$5+$B$6+$B$7,0,IF(A44&gt;$B$6+$B$7,$B$13/AA45,IF(A44&gt;=$B$6,$B$13*$B$15/AA45,($B$13*$B$15+$B$12)/AA45))))</f>
        <v/>
      </c>
      <c r="AE44" s="29">
        <f>IF(A44&gt;$B$5+$B$6+$B$7,0,IF(A44=$B$6,-$M$9*$B$12,0))</f>
        <v/>
      </c>
      <c r="AF44" s="29">
        <f>IF(A44&gt;$B$5+$B$6+$B$7,0,AD44/(AC44-AB44*AF43))</f>
        <v/>
      </c>
      <c r="AG44" s="29">
        <f>IF(A44&gt;$B$5+$B$6+$B$7,0,(AE44-AB44*AG43)/(AC44-AB44*AF43))</f>
        <v/>
      </c>
      <c r="AH44" s="30">
        <f>IF(A44&gt;$B$5+$B$6+$B$7,0,AG44-AF44*AH45)</f>
        <v/>
      </c>
      <c r="AI44" s="31">
        <f>IF(A44&gt;$B$5+$B$6+$B$7,0,IF(C44&lt;&gt;0,J44/C44,0))</f>
        <v/>
      </c>
      <c r="AJ44" s="31">
        <f>IF(A44&gt;$B$5+$B$6+$B$7,0,IF(K44&lt;&gt;0,R44/K44,0))</f>
        <v/>
      </c>
      <c r="AK44" s="31">
        <f>IF(A44&gt;$B$5+$B$6+$B$7,0,IF(S44&lt;&gt;0,Z44/S44,0))</f>
        <v/>
      </c>
      <c r="AL44" s="31">
        <f>IF(A44&gt;$B$5+$B$6+$B$7,0,IF(AA44&lt;&gt;0,AH44/AA44,0))</f>
        <v/>
      </c>
      <c r="AM44" s="30">
        <f>J44+R44+Z44+AH44</f>
        <v/>
      </c>
      <c r="AN44" s="30">
        <f>AI44+AJ44+AK44+AL44</f>
        <v/>
      </c>
    </row>
    <row r="45">
      <c r="A45" s="27" t="n">
        <v>26</v>
      </c>
      <c r="B45" s="28">
        <f>IF(A45&gt;$B$5+$B$6+$B$7,"—",IF(A45&lt;=$B$6,"Extraction",IF(A45&lt;=$B$6+$B$7,"Scrub","Strip")))</f>
        <v/>
      </c>
      <c r="C45" s="29">
        <f>IF(A45&gt;$B$5+$B$6+$B$7,0,IF(A45&lt;=$B$6,$H$6*$B$9^$I$6,IF(A45&lt;=$B$6+$B$7,$H$6*$B$10^$I$6,$H$6*$B$11^$I$6)))</f>
        <v/>
      </c>
      <c r="D45" s="29">
        <f>IF(A45&gt;$B$5+$B$6+$B$7,0,IF(A45=1,0,$B$14))</f>
        <v/>
      </c>
      <c r="E45" s="29">
        <f>IF(A45&gt;$B$5+$B$6+$B$7,0,IF(A45&gt;$B$6+$B$7,-$B$14-$B$13/C45,IF(A45&gt;$B$6,-$B$14-$B$13*$B$15/C45,-$B$14-($B$13*$B$15+$B$12)/C45)))</f>
        <v/>
      </c>
      <c r="F45" s="29">
        <f>IF(A45&gt;$B$5+$B$6+$B$7,0,IF(A45+1&gt;$B$5+$B$6+$B$7,0,IF(A45&gt;$B$6+$B$7,$B$13/C46,IF(A45&gt;=$B$6,$B$13*$B$15/C46,($B$13*$B$15+$B$12)/C46))))</f>
        <v/>
      </c>
      <c r="G45" s="29">
        <f>IF(A45&gt;$B$5+$B$6+$B$7,0,IF(A45=$B$6,-$M$6*$B$12,0))</f>
        <v/>
      </c>
      <c r="H45" s="29">
        <f>IF(A45&gt;$B$5+$B$6+$B$7,0,F45/(E45-D45*H44))</f>
        <v/>
      </c>
      <c r="I45" s="29">
        <f>IF(A45&gt;$B$5+$B$6+$B$7,0,(G45-D45*I44)/(E45-D45*H44))</f>
        <v/>
      </c>
      <c r="J45" s="30">
        <f>IF(A45&gt;$B$5+$B$6+$B$7,0,I45-H45*J46)</f>
        <v/>
      </c>
      <c r="K45" s="29">
        <f>IF(A45&gt;$B$5+$B$6+$B$7,0,IF(A45&lt;=$B$6,$H$7*$B$9^$I$7,IF(A45&lt;=$B$6+$B$7,$H$7*$B$10^$I$7,$H$7*$B$11^$I$7)))</f>
        <v/>
      </c>
      <c r="L45" s="29">
        <f>IF(A45&gt;$B$5+$B$6+$B$7,0,IF(A45=1,0,$B$14))</f>
        <v/>
      </c>
      <c r="M45" s="29">
        <f>IF(A45&gt;$B$5+$B$6+$B$7,0,IF(A45&gt;$B$6+$B$7,-$B$14-$B$13/K45,IF(A45&gt;$B$6,-$B$14-$B$13*$B$15/K45,-$B$14-($B$13*$B$15+$B$12)/K45)))</f>
        <v/>
      </c>
      <c r="N45" s="29">
        <f>IF(A45&gt;$B$5+$B$6+$B$7,0,IF(A45+1&gt;$B$5+$B$6+$B$7,0,IF(A45&gt;$B$6+$B$7,$B$13/K46,IF(A45&gt;=$B$6,$B$13*$B$15/K46,($B$13*$B$15+$B$12)/K46))))</f>
        <v/>
      </c>
      <c r="O45" s="29">
        <f>IF(A45&gt;$B$5+$B$6+$B$7,0,IF(A45=$B$6,-$M$7*$B$12,0))</f>
        <v/>
      </c>
      <c r="P45" s="29">
        <f>IF(A45&gt;$B$5+$B$6+$B$7,0,N45/(M45-L45*P44))</f>
        <v/>
      </c>
      <c r="Q45" s="29">
        <f>IF(A45&gt;$B$5+$B$6+$B$7,0,(O45-L45*Q44)/(M45-L45*P44))</f>
        <v/>
      </c>
      <c r="R45" s="30">
        <f>IF(A45&gt;$B$5+$B$6+$B$7,0,Q45-P45*R46)</f>
        <v/>
      </c>
      <c r="S45" s="29">
        <f>IF(A45&gt;$B$5+$B$6+$B$7,0,IF(A45&lt;=$B$6,$H$8*$B$9^$I$8,IF(A45&lt;=$B$6+$B$7,$H$8*$B$10^$I$8,$H$8*$B$11^$I$8)))</f>
        <v/>
      </c>
      <c r="T45" s="29">
        <f>IF(A45&gt;$B$5+$B$6+$B$7,0,IF(A45=1,0,$B$14))</f>
        <v/>
      </c>
      <c r="U45" s="29">
        <f>IF(A45&gt;$B$5+$B$6+$B$7,0,IF(A45&gt;$B$6+$B$7,-$B$14-$B$13/S45,IF(A45&gt;$B$6,-$B$14-$B$13*$B$15/S45,-$B$14-($B$13*$B$15+$B$12)/S45)))</f>
        <v/>
      </c>
      <c r="V45" s="29">
        <f>IF(A45&gt;$B$5+$B$6+$B$7,0,IF(A45+1&gt;$B$5+$B$6+$B$7,0,IF(A45&gt;$B$6+$B$7,$B$13/S46,IF(A45&gt;=$B$6,$B$13*$B$15/S46,($B$13*$B$15+$B$12)/S46))))</f>
        <v/>
      </c>
      <c r="W45" s="29">
        <f>IF(A45&gt;$B$5+$B$6+$B$7,0,IF(A45=$B$6,-$M$8*$B$12,0))</f>
        <v/>
      </c>
      <c r="X45" s="29">
        <f>IF(A45&gt;$B$5+$B$6+$B$7,0,V45/(U45-T45*X44))</f>
        <v/>
      </c>
      <c r="Y45" s="29">
        <f>IF(A45&gt;$B$5+$B$6+$B$7,0,(W45-T45*Y44)/(U45-T45*X44))</f>
        <v/>
      </c>
      <c r="Z45" s="30">
        <f>IF(A45&gt;$B$5+$B$6+$B$7,0,Y45-X45*Z46)</f>
        <v/>
      </c>
      <c r="AA45" s="29">
        <f>IF(A45&gt;$B$5+$B$6+$B$7,0,IF(A45&lt;=$B$6,$H$9*$B$9^$I$9,IF(A45&lt;=$B$6+$B$7,$H$9*$B$10^$I$9,$H$9*$B$11^$I$9)))</f>
        <v/>
      </c>
      <c r="AB45" s="29">
        <f>IF(A45&gt;$B$5+$B$6+$B$7,0,IF(A45=1,0,$B$14))</f>
        <v/>
      </c>
      <c r="AC45" s="29">
        <f>IF(A45&gt;$B$5+$B$6+$B$7,0,IF(A45&gt;$B$6+$B$7,-$B$14-$B$13/AA45,IF(A45&gt;$B$6,-$B$14-$B$13*$B$15/AA45,-$B$14-($B$13*$B$15+$B$12)/AA45)))</f>
        <v/>
      </c>
      <c r="AD45" s="29">
        <f>IF(A45&gt;$B$5+$B$6+$B$7,0,IF(A45+1&gt;$B$5+$B$6+$B$7,0,IF(A45&gt;$B$6+$B$7,$B$13/AA46,IF(A45&gt;=$B$6,$B$13*$B$15/AA46,($B$13*$B$15+$B$12)/AA46))))</f>
        <v/>
      </c>
      <c r="AE45" s="29">
        <f>IF(A45&gt;$B$5+$B$6+$B$7,0,IF(A45=$B$6,-$M$9*$B$12,0))</f>
        <v/>
      </c>
      <c r="AF45" s="29">
        <f>IF(A45&gt;$B$5+$B$6+$B$7,0,AD45/(AC45-AB45*AF44))</f>
        <v/>
      </c>
      <c r="AG45" s="29">
        <f>IF(A45&gt;$B$5+$B$6+$B$7,0,(AE45-AB45*AG44)/(AC45-AB45*AF44))</f>
        <v/>
      </c>
      <c r="AH45" s="30">
        <f>IF(A45&gt;$B$5+$B$6+$B$7,0,AG45-AF45*AH46)</f>
        <v/>
      </c>
      <c r="AI45" s="31">
        <f>IF(A45&gt;$B$5+$B$6+$B$7,0,IF(C45&lt;&gt;0,J45/C45,0))</f>
        <v/>
      </c>
      <c r="AJ45" s="31">
        <f>IF(A45&gt;$B$5+$B$6+$B$7,0,IF(K45&lt;&gt;0,R45/K45,0))</f>
        <v/>
      </c>
      <c r="AK45" s="31">
        <f>IF(A45&gt;$B$5+$B$6+$B$7,0,IF(S45&lt;&gt;0,Z45/S45,0))</f>
        <v/>
      </c>
      <c r="AL45" s="31">
        <f>IF(A45&gt;$B$5+$B$6+$B$7,0,IF(AA45&lt;&gt;0,AH45/AA45,0))</f>
        <v/>
      </c>
      <c r="AM45" s="30">
        <f>J45+R45+Z45+AH45</f>
        <v/>
      </c>
      <c r="AN45" s="30">
        <f>AI45+AJ45+AK45+AL45</f>
        <v/>
      </c>
    </row>
    <row r="46">
      <c r="A46" s="27" t="n">
        <v>27</v>
      </c>
      <c r="B46" s="28">
        <f>IF(A46&gt;$B$5+$B$6+$B$7,"—",IF(A46&lt;=$B$6,"Extraction",IF(A46&lt;=$B$6+$B$7,"Scrub","Strip")))</f>
        <v/>
      </c>
      <c r="C46" s="29">
        <f>IF(A46&gt;$B$5+$B$6+$B$7,0,IF(A46&lt;=$B$6,$H$6*$B$9^$I$6,IF(A46&lt;=$B$6+$B$7,$H$6*$B$10^$I$6,$H$6*$B$11^$I$6)))</f>
        <v/>
      </c>
      <c r="D46" s="29">
        <f>IF(A46&gt;$B$5+$B$6+$B$7,0,IF(A46=1,0,$B$14))</f>
        <v/>
      </c>
      <c r="E46" s="29">
        <f>IF(A46&gt;$B$5+$B$6+$B$7,0,IF(A46&gt;$B$6+$B$7,-$B$14-$B$13/C46,IF(A46&gt;$B$6,-$B$14-$B$13*$B$15/C46,-$B$14-($B$13*$B$15+$B$12)/C46)))</f>
        <v/>
      </c>
      <c r="F46" s="29">
        <f>IF(A46&gt;$B$5+$B$6+$B$7,0,IF(A46+1&gt;$B$5+$B$6+$B$7,0,IF(A46&gt;$B$6+$B$7,$B$13/C47,IF(A46&gt;=$B$6,$B$13*$B$15/C47,($B$13*$B$15+$B$12)/C47))))</f>
        <v/>
      </c>
      <c r="G46" s="29">
        <f>IF(A46&gt;$B$5+$B$6+$B$7,0,IF(A46=$B$6,-$M$6*$B$12,0))</f>
        <v/>
      </c>
      <c r="H46" s="29">
        <f>IF(A46&gt;$B$5+$B$6+$B$7,0,F46/(E46-D46*H45))</f>
        <v/>
      </c>
      <c r="I46" s="29">
        <f>IF(A46&gt;$B$5+$B$6+$B$7,0,(G46-D46*I45)/(E46-D46*H45))</f>
        <v/>
      </c>
      <c r="J46" s="30">
        <f>IF(A46&gt;$B$5+$B$6+$B$7,0,I46-H46*J47)</f>
        <v/>
      </c>
      <c r="K46" s="29">
        <f>IF(A46&gt;$B$5+$B$6+$B$7,0,IF(A46&lt;=$B$6,$H$7*$B$9^$I$7,IF(A46&lt;=$B$6+$B$7,$H$7*$B$10^$I$7,$H$7*$B$11^$I$7)))</f>
        <v/>
      </c>
      <c r="L46" s="29">
        <f>IF(A46&gt;$B$5+$B$6+$B$7,0,IF(A46=1,0,$B$14))</f>
        <v/>
      </c>
      <c r="M46" s="29">
        <f>IF(A46&gt;$B$5+$B$6+$B$7,0,IF(A46&gt;$B$6+$B$7,-$B$14-$B$13/K46,IF(A46&gt;$B$6,-$B$14-$B$13*$B$15/K46,-$B$14-($B$13*$B$15+$B$12)/K46)))</f>
        <v/>
      </c>
      <c r="N46" s="29">
        <f>IF(A46&gt;$B$5+$B$6+$B$7,0,IF(A46+1&gt;$B$5+$B$6+$B$7,0,IF(A46&gt;$B$6+$B$7,$B$13/K47,IF(A46&gt;=$B$6,$B$13*$B$15/K47,($B$13*$B$15+$B$12)/K47))))</f>
        <v/>
      </c>
      <c r="O46" s="29">
        <f>IF(A46&gt;$B$5+$B$6+$B$7,0,IF(A46=$B$6,-$M$7*$B$12,0))</f>
        <v/>
      </c>
      <c r="P46" s="29">
        <f>IF(A46&gt;$B$5+$B$6+$B$7,0,N46/(M46-L46*P45))</f>
        <v/>
      </c>
      <c r="Q46" s="29">
        <f>IF(A46&gt;$B$5+$B$6+$B$7,0,(O46-L46*Q45)/(M46-L46*P45))</f>
        <v/>
      </c>
      <c r="R46" s="30">
        <f>IF(A46&gt;$B$5+$B$6+$B$7,0,Q46-P46*R47)</f>
        <v/>
      </c>
      <c r="S46" s="29">
        <f>IF(A46&gt;$B$5+$B$6+$B$7,0,IF(A46&lt;=$B$6,$H$8*$B$9^$I$8,IF(A46&lt;=$B$6+$B$7,$H$8*$B$10^$I$8,$H$8*$B$11^$I$8)))</f>
        <v/>
      </c>
      <c r="T46" s="29">
        <f>IF(A46&gt;$B$5+$B$6+$B$7,0,IF(A46=1,0,$B$14))</f>
        <v/>
      </c>
      <c r="U46" s="29">
        <f>IF(A46&gt;$B$5+$B$6+$B$7,0,IF(A46&gt;$B$6+$B$7,-$B$14-$B$13/S46,IF(A46&gt;$B$6,-$B$14-$B$13*$B$15/S46,-$B$14-($B$13*$B$15+$B$12)/S46)))</f>
        <v/>
      </c>
      <c r="V46" s="29">
        <f>IF(A46&gt;$B$5+$B$6+$B$7,0,IF(A46+1&gt;$B$5+$B$6+$B$7,0,IF(A46&gt;$B$6+$B$7,$B$13/S47,IF(A46&gt;=$B$6,$B$13*$B$15/S47,($B$13*$B$15+$B$12)/S47))))</f>
        <v/>
      </c>
      <c r="W46" s="29">
        <f>IF(A46&gt;$B$5+$B$6+$B$7,0,IF(A46=$B$6,-$M$8*$B$12,0))</f>
        <v/>
      </c>
      <c r="X46" s="29">
        <f>IF(A46&gt;$B$5+$B$6+$B$7,0,V46/(U46-T46*X45))</f>
        <v/>
      </c>
      <c r="Y46" s="29">
        <f>IF(A46&gt;$B$5+$B$6+$B$7,0,(W46-T46*Y45)/(U46-T46*X45))</f>
        <v/>
      </c>
      <c r="Z46" s="30">
        <f>IF(A46&gt;$B$5+$B$6+$B$7,0,Y46-X46*Z47)</f>
        <v/>
      </c>
      <c r="AA46" s="29">
        <f>IF(A46&gt;$B$5+$B$6+$B$7,0,IF(A46&lt;=$B$6,$H$9*$B$9^$I$9,IF(A46&lt;=$B$6+$B$7,$H$9*$B$10^$I$9,$H$9*$B$11^$I$9)))</f>
        <v/>
      </c>
      <c r="AB46" s="29">
        <f>IF(A46&gt;$B$5+$B$6+$B$7,0,IF(A46=1,0,$B$14))</f>
        <v/>
      </c>
      <c r="AC46" s="29">
        <f>IF(A46&gt;$B$5+$B$6+$B$7,0,IF(A46&gt;$B$6+$B$7,-$B$14-$B$13/AA46,IF(A46&gt;$B$6,-$B$14-$B$13*$B$15/AA46,-$B$14-($B$13*$B$15+$B$12)/AA46)))</f>
        <v/>
      </c>
      <c r="AD46" s="29">
        <f>IF(A46&gt;$B$5+$B$6+$B$7,0,IF(A46+1&gt;$B$5+$B$6+$B$7,0,IF(A46&gt;$B$6+$B$7,$B$13/AA47,IF(A46&gt;=$B$6,$B$13*$B$15/AA47,($B$13*$B$15+$B$12)/AA47))))</f>
        <v/>
      </c>
      <c r="AE46" s="29">
        <f>IF(A46&gt;$B$5+$B$6+$B$7,0,IF(A46=$B$6,-$M$9*$B$12,0))</f>
        <v/>
      </c>
      <c r="AF46" s="29">
        <f>IF(A46&gt;$B$5+$B$6+$B$7,0,AD46/(AC46-AB46*AF45))</f>
        <v/>
      </c>
      <c r="AG46" s="29">
        <f>IF(A46&gt;$B$5+$B$6+$B$7,0,(AE46-AB46*AG45)/(AC46-AB46*AF45))</f>
        <v/>
      </c>
      <c r="AH46" s="30">
        <f>IF(A46&gt;$B$5+$B$6+$B$7,0,AG46-AF46*AH47)</f>
        <v/>
      </c>
      <c r="AI46" s="31">
        <f>IF(A46&gt;$B$5+$B$6+$B$7,0,IF(C46&lt;&gt;0,J46/C46,0))</f>
        <v/>
      </c>
      <c r="AJ46" s="31">
        <f>IF(A46&gt;$B$5+$B$6+$B$7,0,IF(K46&lt;&gt;0,R46/K46,0))</f>
        <v/>
      </c>
      <c r="AK46" s="31">
        <f>IF(A46&gt;$B$5+$B$6+$B$7,0,IF(S46&lt;&gt;0,Z46/S46,0))</f>
        <v/>
      </c>
      <c r="AL46" s="31">
        <f>IF(A46&gt;$B$5+$B$6+$B$7,0,IF(AA46&lt;&gt;0,AH46/AA46,0))</f>
        <v/>
      </c>
      <c r="AM46" s="30">
        <f>J46+R46+Z46+AH46</f>
        <v/>
      </c>
      <c r="AN46" s="30">
        <f>AI46+AJ46+AK46+AL46</f>
        <v/>
      </c>
    </row>
    <row r="47">
      <c r="A47" s="27" t="n">
        <v>28</v>
      </c>
      <c r="B47" s="28">
        <f>IF(A47&gt;$B$5+$B$6+$B$7,"—",IF(A47&lt;=$B$6,"Extraction",IF(A47&lt;=$B$6+$B$7,"Scrub","Strip")))</f>
        <v/>
      </c>
      <c r="C47" s="29">
        <f>IF(A47&gt;$B$5+$B$6+$B$7,0,IF(A47&lt;=$B$6,$H$6*$B$9^$I$6,IF(A47&lt;=$B$6+$B$7,$H$6*$B$10^$I$6,$H$6*$B$11^$I$6)))</f>
        <v/>
      </c>
      <c r="D47" s="29">
        <f>IF(A47&gt;$B$5+$B$6+$B$7,0,IF(A47=1,0,$B$14))</f>
        <v/>
      </c>
      <c r="E47" s="29">
        <f>IF(A47&gt;$B$5+$B$6+$B$7,0,IF(A47&gt;$B$6+$B$7,-$B$14-$B$13/C47,IF(A47&gt;$B$6,-$B$14-$B$13*$B$15/C47,-$B$14-($B$13*$B$15+$B$12)/C47)))</f>
        <v/>
      </c>
      <c r="F47" s="29">
        <f>IF(A47&gt;$B$5+$B$6+$B$7,0,IF(A47+1&gt;$B$5+$B$6+$B$7,0,IF(A47&gt;$B$6+$B$7,$B$13/C48,IF(A47&gt;=$B$6,$B$13*$B$15/C48,($B$13*$B$15+$B$12)/C48))))</f>
        <v/>
      </c>
      <c r="G47" s="29">
        <f>IF(A47&gt;$B$5+$B$6+$B$7,0,IF(A47=$B$6,-$M$6*$B$12,0))</f>
        <v/>
      </c>
      <c r="H47" s="29">
        <f>IF(A47&gt;$B$5+$B$6+$B$7,0,F47/(E47-D47*H46))</f>
        <v/>
      </c>
      <c r="I47" s="29">
        <f>IF(A47&gt;$B$5+$B$6+$B$7,0,(G47-D47*I46)/(E47-D47*H46))</f>
        <v/>
      </c>
      <c r="J47" s="30">
        <f>IF(A47&gt;$B$5+$B$6+$B$7,0,I47-H47*J48)</f>
        <v/>
      </c>
      <c r="K47" s="29">
        <f>IF(A47&gt;$B$5+$B$6+$B$7,0,IF(A47&lt;=$B$6,$H$7*$B$9^$I$7,IF(A47&lt;=$B$6+$B$7,$H$7*$B$10^$I$7,$H$7*$B$11^$I$7)))</f>
        <v/>
      </c>
      <c r="L47" s="29">
        <f>IF(A47&gt;$B$5+$B$6+$B$7,0,IF(A47=1,0,$B$14))</f>
        <v/>
      </c>
      <c r="M47" s="29">
        <f>IF(A47&gt;$B$5+$B$6+$B$7,0,IF(A47&gt;$B$6+$B$7,-$B$14-$B$13/K47,IF(A47&gt;$B$6,-$B$14-$B$13*$B$15/K47,-$B$14-($B$13*$B$15+$B$12)/K47)))</f>
        <v/>
      </c>
      <c r="N47" s="29">
        <f>IF(A47&gt;$B$5+$B$6+$B$7,0,IF(A47+1&gt;$B$5+$B$6+$B$7,0,IF(A47&gt;$B$6+$B$7,$B$13/K48,IF(A47&gt;=$B$6,$B$13*$B$15/K48,($B$13*$B$15+$B$12)/K48))))</f>
        <v/>
      </c>
      <c r="O47" s="29">
        <f>IF(A47&gt;$B$5+$B$6+$B$7,0,IF(A47=$B$6,-$M$7*$B$12,0))</f>
        <v/>
      </c>
      <c r="P47" s="29">
        <f>IF(A47&gt;$B$5+$B$6+$B$7,0,N47/(M47-L47*P46))</f>
        <v/>
      </c>
      <c r="Q47" s="29">
        <f>IF(A47&gt;$B$5+$B$6+$B$7,0,(O47-L47*Q46)/(M47-L47*P46))</f>
        <v/>
      </c>
      <c r="R47" s="30">
        <f>IF(A47&gt;$B$5+$B$6+$B$7,0,Q47-P47*R48)</f>
        <v/>
      </c>
      <c r="S47" s="29">
        <f>IF(A47&gt;$B$5+$B$6+$B$7,0,IF(A47&lt;=$B$6,$H$8*$B$9^$I$8,IF(A47&lt;=$B$6+$B$7,$H$8*$B$10^$I$8,$H$8*$B$11^$I$8)))</f>
        <v/>
      </c>
      <c r="T47" s="29">
        <f>IF(A47&gt;$B$5+$B$6+$B$7,0,IF(A47=1,0,$B$14))</f>
        <v/>
      </c>
      <c r="U47" s="29">
        <f>IF(A47&gt;$B$5+$B$6+$B$7,0,IF(A47&gt;$B$6+$B$7,-$B$14-$B$13/S47,IF(A47&gt;$B$6,-$B$14-$B$13*$B$15/S47,-$B$14-($B$13*$B$15+$B$12)/S47)))</f>
        <v/>
      </c>
      <c r="V47" s="29">
        <f>IF(A47&gt;$B$5+$B$6+$B$7,0,IF(A47+1&gt;$B$5+$B$6+$B$7,0,IF(A47&gt;$B$6+$B$7,$B$13/S48,IF(A47&gt;=$B$6,$B$13*$B$15/S48,($B$13*$B$15+$B$12)/S48))))</f>
        <v/>
      </c>
      <c r="W47" s="29">
        <f>IF(A47&gt;$B$5+$B$6+$B$7,0,IF(A47=$B$6,-$M$8*$B$12,0))</f>
        <v/>
      </c>
      <c r="X47" s="29">
        <f>IF(A47&gt;$B$5+$B$6+$B$7,0,V47/(U47-T47*X46))</f>
        <v/>
      </c>
      <c r="Y47" s="29">
        <f>IF(A47&gt;$B$5+$B$6+$B$7,0,(W47-T47*Y46)/(U47-T47*X46))</f>
        <v/>
      </c>
      <c r="Z47" s="30">
        <f>IF(A47&gt;$B$5+$B$6+$B$7,0,Y47-X47*Z48)</f>
        <v/>
      </c>
      <c r="AA47" s="29">
        <f>IF(A47&gt;$B$5+$B$6+$B$7,0,IF(A47&lt;=$B$6,$H$9*$B$9^$I$9,IF(A47&lt;=$B$6+$B$7,$H$9*$B$10^$I$9,$H$9*$B$11^$I$9)))</f>
        <v/>
      </c>
      <c r="AB47" s="29">
        <f>IF(A47&gt;$B$5+$B$6+$B$7,0,IF(A47=1,0,$B$14))</f>
        <v/>
      </c>
      <c r="AC47" s="29">
        <f>IF(A47&gt;$B$5+$B$6+$B$7,0,IF(A47&gt;$B$6+$B$7,-$B$14-$B$13/AA47,IF(A47&gt;$B$6,-$B$14-$B$13*$B$15/AA47,-$B$14-($B$13*$B$15+$B$12)/AA47)))</f>
        <v/>
      </c>
      <c r="AD47" s="29">
        <f>IF(A47&gt;$B$5+$B$6+$B$7,0,IF(A47+1&gt;$B$5+$B$6+$B$7,0,IF(A47&gt;$B$6+$B$7,$B$13/AA48,IF(A47&gt;=$B$6,$B$13*$B$15/AA48,($B$13*$B$15+$B$12)/AA48))))</f>
        <v/>
      </c>
      <c r="AE47" s="29">
        <f>IF(A47&gt;$B$5+$B$6+$B$7,0,IF(A47=$B$6,-$M$9*$B$12,0))</f>
        <v/>
      </c>
      <c r="AF47" s="29">
        <f>IF(A47&gt;$B$5+$B$6+$B$7,0,AD47/(AC47-AB47*AF46))</f>
        <v/>
      </c>
      <c r="AG47" s="29">
        <f>IF(A47&gt;$B$5+$B$6+$B$7,0,(AE47-AB47*AG46)/(AC47-AB47*AF46))</f>
        <v/>
      </c>
      <c r="AH47" s="30">
        <f>IF(A47&gt;$B$5+$B$6+$B$7,0,AG47-AF47*AH48)</f>
        <v/>
      </c>
      <c r="AI47" s="31">
        <f>IF(A47&gt;$B$5+$B$6+$B$7,0,IF(C47&lt;&gt;0,J47/C47,0))</f>
        <v/>
      </c>
      <c r="AJ47" s="31">
        <f>IF(A47&gt;$B$5+$B$6+$B$7,0,IF(K47&lt;&gt;0,R47/K47,0))</f>
        <v/>
      </c>
      <c r="AK47" s="31">
        <f>IF(A47&gt;$B$5+$B$6+$B$7,0,IF(S47&lt;&gt;0,Z47/S47,0))</f>
        <v/>
      </c>
      <c r="AL47" s="31">
        <f>IF(A47&gt;$B$5+$B$6+$B$7,0,IF(AA47&lt;&gt;0,AH47/AA47,0))</f>
        <v/>
      </c>
      <c r="AM47" s="30">
        <f>J47+R47+Z47+AH47</f>
        <v/>
      </c>
      <c r="AN47" s="30">
        <f>AI47+AJ47+AK47+AL47</f>
        <v/>
      </c>
    </row>
    <row r="48">
      <c r="A48" s="27" t="n">
        <v>29</v>
      </c>
      <c r="B48" s="28">
        <f>IF(A48&gt;$B$5+$B$6+$B$7,"—",IF(A48&lt;=$B$6,"Extraction",IF(A48&lt;=$B$6+$B$7,"Scrub","Strip")))</f>
        <v/>
      </c>
      <c r="C48" s="29">
        <f>IF(A48&gt;$B$5+$B$6+$B$7,0,IF(A48&lt;=$B$6,$H$6*$B$9^$I$6,IF(A48&lt;=$B$6+$B$7,$H$6*$B$10^$I$6,$H$6*$B$11^$I$6)))</f>
        <v/>
      </c>
      <c r="D48" s="29">
        <f>IF(A48&gt;$B$5+$B$6+$B$7,0,IF(A48=1,0,$B$14))</f>
        <v/>
      </c>
      <c r="E48" s="29">
        <f>IF(A48&gt;$B$5+$B$6+$B$7,0,IF(A48&gt;$B$6+$B$7,-$B$14-$B$13/C48,IF(A48&gt;$B$6,-$B$14-$B$13*$B$15/C48,-$B$14-($B$13*$B$15+$B$12)/C48)))</f>
        <v/>
      </c>
      <c r="F48" s="29">
        <f>IF(A48&gt;$B$5+$B$6+$B$7,0,IF(A48+1&gt;$B$5+$B$6+$B$7,0,IF(A48&gt;$B$6+$B$7,$B$13/C49,IF(A48&gt;=$B$6,$B$13*$B$15/C49,($B$13*$B$15+$B$12)/C49))))</f>
        <v/>
      </c>
      <c r="G48" s="29">
        <f>IF(A48&gt;$B$5+$B$6+$B$7,0,IF(A48=$B$6,-$M$6*$B$12,0))</f>
        <v/>
      </c>
      <c r="H48" s="29">
        <f>IF(A48&gt;$B$5+$B$6+$B$7,0,F48/(E48-D48*H47))</f>
        <v/>
      </c>
      <c r="I48" s="29">
        <f>IF(A48&gt;$B$5+$B$6+$B$7,0,(G48-D48*I47)/(E48-D48*H47))</f>
        <v/>
      </c>
      <c r="J48" s="30">
        <f>IF(A48&gt;$B$5+$B$6+$B$7,0,I48-H48*J49)</f>
        <v/>
      </c>
      <c r="K48" s="29">
        <f>IF(A48&gt;$B$5+$B$6+$B$7,0,IF(A48&lt;=$B$6,$H$7*$B$9^$I$7,IF(A48&lt;=$B$6+$B$7,$H$7*$B$10^$I$7,$H$7*$B$11^$I$7)))</f>
        <v/>
      </c>
      <c r="L48" s="29">
        <f>IF(A48&gt;$B$5+$B$6+$B$7,0,IF(A48=1,0,$B$14))</f>
        <v/>
      </c>
      <c r="M48" s="29">
        <f>IF(A48&gt;$B$5+$B$6+$B$7,0,IF(A48&gt;$B$6+$B$7,-$B$14-$B$13/K48,IF(A48&gt;$B$6,-$B$14-$B$13*$B$15/K48,-$B$14-($B$13*$B$15+$B$12)/K48)))</f>
        <v/>
      </c>
      <c r="N48" s="29">
        <f>IF(A48&gt;$B$5+$B$6+$B$7,0,IF(A48+1&gt;$B$5+$B$6+$B$7,0,IF(A48&gt;$B$6+$B$7,$B$13/K49,IF(A48&gt;=$B$6,$B$13*$B$15/K49,($B$13*$B$15+$B$12)/K49))))</f>
        <v/>
      </c>
      <c r="O48" s="29">
        <f>IF(A48&gt;$B$5+$B$6+$B$7,0,IF(A48=$B$6,-$M$7*$B$12,0))</f>
        <v/>
      </c>
      <c r="P48" s="29">
        <f>IF(A48&gt;$B$5+$B$6+$B$7,0,N48/(M48-L48*P47))</f>
        <v/>
      </c>
      <c r="Q48" s="29">
        <f>IF(A48&gt;$B$5+$B$6+$B$7,0,(O48-L48*Q47)/(M48-L48*P47))</f>
        <v/>
      </c>
      <c r="R48" s="30">
        <f>IF(A48&gt;$B$5+$B$6+$B$7,0,Q48-P48*R49)</f>
        <v/>
      </c>
      <c r="S48" s="29">
        <f>IF(A48&gt;$B$5+$B$6+$B$7,0,IF(A48&lt;=$B$6,$H$8*$B$9^$I$8,IF(A48&lt;=$B$6+$B$7,$H$8*$B$10^$I$8,$H$8*$B$11^$I$8)))</f>
        <v/>
      </c>
      <c r="T48" s="29">
        <f>IF(A48&gt;$B$5+$B$6+$B$7,0,IF(A48=1,0,$B$14))</f>
        <v/>
      </c>
      <c r="U48" s="29">
        <f>IF(A48&gt;$B$5+$B$6+$B$7,0,IF(A48&gt;$B$6+$B$7,-$B$14-$B$13/S48,IF(A48&gt;$B$6,-$B$14-$B$13*$B$15/S48,-$B$14-($B$13*$B$15+$B$12)/S48)))</f>
        <v/>
      </c>
      <c r="V48" s="29">
        <f>IF(A48&gt;$B$5+$B$6+$B$7,0,IF(A48+1&gt;$B$5+$B$6+$B$7,0,IF(A48&gt;$B$6+$B$7,$B$13/S49,IF(A48&gt;=$B$6,$B$13*$B$15/S49,($B$13*$B$15+$B$12)/S49))))</f>
        <v/>
      </c>
      <c r="W48" s="29">
        <f>IF(A48&gt;$B$5+$B$6+$B$7,0,IF(A48=$B$6,-$M$8*$B$12,0))</f>
        <v/>
      </c>
      <c r="X48" s="29">
        <f>IF(A48&gt;$B$5+$B$6+$B$7,0,V48/(U48-T48*X47))</f>
        <v/>
      </c>
      <c r="Y48" s="29">
        <f>IF(A48&gt;$B$5+$B$6+$B$7,0,(W48-T48*Y47)/(U48-T48*X47))</f>
        <v/>
      </c>
      <c r="Z48" s="30">
        <f>IF(A48&gt;$B$5+$B$6+$B$7,0,Y48-X48*Z49)</f>
        <v/>
      </c>
      <c r="AA48" s="29">
        <f>IF(A48&gt;$B$5+$B$6+$B$7,0,IF(A48&lt;=$B$6,$H$9*$B$9^$I$9,IF(A48&lt;=$B$6+$B$7,$H$9*$B$10^$I$9,$H$9*$B$11^$I$9)))</f>
        <v/>
      </c>
      <c r="AB48" s="29">
        <f>IF(A48&gt;$B$5+$B$6+$B$7,0,IF(A48=1,0,$B$14))</f>
        <v/>
      </c>
      <c r="AC48" s="29">
        <f>IF(A48&gt;$B$5+$B$6+$B$7,0,IF(A48&gt;$B$6+$B$7,-$B$14-$B$13/AA48,IF(A48&gt;$B$6,-$B$14-$B$13*$B$15/AA48,-$B$14-($B$13*$B$15+$B$12)/AA48)))</f>
        <v/>
      </c>
      <c r="AD48" s="29">
        <f>IF(A48&gt;$B$5+$B$6+$B$7,0,IF(A48+1&gt;$B$5+$B$6+$B$7,0,IF(A48&gt;$B$6+$B$7,$B$13/AA49,IF(A48&gt;=$B$6,$B$13*$B$15/AA49,($B$13*$B$15+$B$12)/AA49))))</f>
        <v/>
      </c>
      <c r="AE48" s="29">
        <f>IF(A48&gt;$B$5+$B$6+$B$7,0,IF(A48=$B$6,-$M$9*$B$12,0))</f>
        <v/>
      </c>
      <c r="AF48" s="29">
        <f>IF(A48&gt;$B$5+$B$6+$B$7,0,AD48/(AC48-AB48*AF47))</f>
        <v/>
      </c>
      <c r="AG48" s="29">
        <f>IF(A48&gt;$B$5+$B$6+$B$7,0,(AE48-AB48*AG47)/(AC48-AB48*AF47))</f>
        <v/>
      </c>
      <c r="AH48" s="30">
        <f>IF(A48&gt;$B$5+$B$6+$B$7,0,AG48-AF48*AH49)</f>
        <v/>
      </c>
      <c r="AI48" s="31">
        <f>IF(A48&gt;$B$5+$B$6+$B$7,0,IF(C48&lt;&gt;0,J48/C48,0))</f>
        <v/>
      </c>
      <c r="AJ48" s="31">
        <f>IF(A48&gt;$B$5+$B$6+$B$7,0,IF(K48&lt;&gt;0,R48/K48,0))</f>
        <v/>
      </c>
      <c r="AK48" s="31">
        <f>IF(A48&gt;$B$5+$B$6+$B$7,0,IF(S48&lt;&gt;0,Z48/S48,0))</f>
        <v/>
      </c>
      <c r="AL48" s="31">
        <f>IF(A48&gt;$B$5+$B$6+$B$7,0,IF(AA48&lt;&gt;0,AH48/AA48,0))</f>
        <v/>
      </c>
      <c r="AM48" s="30">
        <f>J48+R48+Z48+AH48</f>
        <v/>
      </c>
      <c r="AN48" s="30">
        <f>AI48+AJ48+AK48+AL48</f>
        <v/>
      </c>
    </row>
    <row r="49">
      <c r="A49" s="27" t="n">
        <v>30</v>
      </c>
      <c r="B49" s="28">
        <f>IF(A49&gt;$B$5+$B$6+$B$7,"—",IF(A49&lt;=$B$6,"Extraction",IF(A49&lt;=$B$6+$B$7,"Scrub","Strip")))</f>
        <v/>
      </c>
      <c r="C49" s="29">
        <f>IF(A49&gt;$B$5+$B$6+$B$7,0,IF(A49&lt;=$B$6,$H$6*$B$9^$I$6,IF(A49&lt;=$B$6+$B$7,$H$6*$B$10^$I$6,$H$6*$B$11^$I$6)))</f>
        <v/>
      </c>
      <c r="D49" s="29">
        <f>IF(A49&gt;$B$5+$B$6+$B$7,0,IF(A49=1,0,$B$14))</f>
        <v/>
      </c>
      <c r="E49" s="29">
        <f>IF(A49&gt;$B$5+$B$6+$B$7,0,IF(A49&gt;$B$6+$B$7,-$B$14-$B$13/C49,IF(A49&gt;$B$6,-$B$14-$B$13*$B$15/C49,-$B$14-($B$13*$B$15+$B$12)/C49)))</f>
        <v/>
      </c>
      <c r="F49" s="29">
        <f>IF(A49&gt;$B$5+$B$6+$B$7,0,IF(A49+1&gt;$B$5+$B$6+$B$7,0,IF(A49&gt;$B$6+$B$7,$B$13/C50,IF(A49&gt;=$B$6,$B$13*$B$15/C50,($B$13*$B$15+$B$12)/C50))))</f>
        <v/>
      </c>
      <c r="G49" s="29">
        <f>IF(A49&gt;$B$5+$B$6+$B$7,0,IF(A49=$B$6,-$M$6*$B$12,0))</f>
        <v/>
      </c>
      <c r="H49" s="29">
        <f>IF(A49&gt;$B$5+$B$6+$B$7,0,F49/(E49-D49*H48))</f>
        <v/>
      </c>
      <c r="I49" s="29">
        <f>IF(A49&gt;$B$5+$B$6+$B$7,0,(G49-D49*I48)/(E49-D49*H48))</f>
        <v/>
      </c>
      <c r="J49" s="30">
        <f>IF(A49&gt;$B$5+$B$6+$B$7,0,I49-H49*J50)</f>
        <v/>
      </c>
      <c r="K49" s="29">
        <f>IF(A49&gt;$B$5+$B$6+$B$7,0,IF(A49&lt;=$B$6,$H$7*$B$9^$I$7,IF(A49&lt;=$B$6+$B$7,$H$7*$B$10^$I$7,$H$7*$B$11^$I$7)))</f>
        <v/>
      </c>
      <c r="L49" s="29">
        <f>IF(A49&gt;$B$5+$B$6+$B$7,0,IF(A49=1,0,$B$14))</f>
        <v/>
      </c>
      <c r="M49" s="29">
        <f>IF(A49&gt;$B$5+$B$6+$B$7,0,IF(A49&gt;$B$6+$B$7,-$B$14-$B$13/K49,IF(A49&gt;$B$6,-$B$14-$B$13*$B$15/K49,-$B$14-($B$13*$B$15+$B$12)/K49)))</f>
        <v/>
      </c>
      <c r="N49" s="29">
        <f>IF(A49&gt;$B$5+$B$6+$B$7,0,IF(A49+1&gt;$B$5+$B$6+$B$7,0,IF(A49&gt;$B$6+$B$7,$B$13/K50,IF(A49&gt;=$B$6,$B$13*$B$15/K50,($B$13*$B$15+$B$12)/K50))))</f>
        <v/>
      </c>
      <c r="O49" s="29">
        <f>IF(A49&gt;$B$5+$B$6+$B$7,0,IF(A49=$B$6,-$M$7*$B$12,0))</f>
        <v/>
      </c>
      <c r="P49" s="29">
        <f>IF(A49&gt;$B$5+$B$6+$B$7,0,N49/(M49-L49*P48))</f>
        <v/>
      </c>
      <c r="Q49" s="29">
        <f>IF(A49&gt;$B$5+$B$6+$B$7,0,(O49-L49*Q48)/(M49-L49*P48))</f>
        <v/>
      </c>
      <c r="R49" s="30">
        <f>IF(A49&gt;$B$5+$B$6+$B$7,0,Q49-P49*R50)</f>
        <v/>
      </c>
      <c r="S49" s="29">
        <f>IF(A49&gt;$B$5+$B$6+$B$7,0,IF(A49&lt;=$B$6,$H$8*$B$9^$I$8,IF(A49&lt;=$B$6+$B$7,$H$8*$B$10^$I$8,$H$8*$B$11^$I$8)))</f>
        <v/>
      </c>
      <c r="T49" s="29">
        <f>IF(A49&gt;$B$5+$B$6+$B$7,0,IF(A49=1,0,$B$14))</f>
        <v/>
      </c>
      <c r="U49" s="29">
        <f>IF(A49&gt;$B$5+$B$6+$B$7,0,IF(A49&gt;$B$6+$B$7,-$B$14-$B$13/S49,IF(A49&gt;$B$6,-$B$14-$B$13*$B$15/S49,-$B$14-($B$13*$B$15+$B$12)/S49)))</f>
        <v/>
      </c>
      <c r="V49" s="29">
        <f>IF(A49&gt;$B$5+$B$6+$B$7,0,IF(A49+1&gt;$B$5+$B$6+$B$7,0,IF(A49&gt;$B$6+$B$7,$B$13/S50,IF(A49&gt;=$B$6,$B$13*$B$15/S50,($B$13*$B$15+$B$12)/S50))))</f>
        <v/>
      </c>
      <c r="W49" s="29">
        <f>IF(A49&gt;$B$5+$B$6+$B$7,0,IF(A49=$B$6,-$M$8*$B$12,0))</f>
        <v/>
      </c>
      <c r="X49" s="29">
        <f>IF(A49&gt;$B$5+$B$6+$B$7,0,V49/(U49-T49*X48))</f>
        <v/>
      </c>
      <c r="Y49" s="29">
        <f>IF(A49&gt;$B$5+$B$6+$B$7,0,(W49-T49*Y48)/(U49-T49*X48))</f>
        <v/>
      </c>
      <c r="Z49" s="30">
        <f>IF(A49&gt;$B$5+$B$6+$B$7,0,Y49-X49*Z50)</f>
        <v/>
      </c>
      <c r="AA49" s="29">
        <f>IF(A49&gt;$B$5+$B$6+$B$7,0,IF(A49&lt;=$B$6,$H$9*$B$9^$I$9,IF(A49&lt;=$B$6+$B$7,$H$9*$B$10^$I$9,$H$9*$B$11^$I$9)))</f>
        <v/>
      </c>
      <c r="AB49" s="29">
        <f>IF(A49&gt;$B$5+$B$6+$B$7,0,IF(A49=1,0,$B$14))</f>
        <v/>
      </c>
      <c r="AC49" s="29">
        <f>IF(A49&gt;$B$5+$B$6+$B$7,0,IF(A49&gt;$B$6+$B$7,-$B$14-$B$13/AA49,IF(A49&gt;$B$6,-$B$14-$B$13*$B$15/AA49,-$B$14-($B$13*$B$15+$B$12)/AA49)))</f>
        <v/>
      </c>
      <c r="AD49" s="29">
        <f>IF(A49&gt;$B$5+$B$6+$B$7,0,IF(A49+1&gt;$B$5+$B$6+$B$7,0,IF(A49&gt;$B$6+$B$7,$B$13/AA50,IF(A49&gt;=$B$6,$B$13*$B$15/AA50,($B$13*$B$15+$B$12)/AA50))))</f>
        <v/>
      </c>
      <c r="AE49" s="29">
        <f>IF(A49&gt;$B$5+$B$6+$B$7,0,IF(A49=$B$6,-$M$9*$B$12,0))</f>
        <v/>
      </c>
      <c r="AF49" s="29">
        <f>IF(A49&gt;$B$5+$B$6+$B$7,0,AD49/(AC49-AB49*AF48))</f>
        <v/>
      </c>
      <c r="AG49" s="29">
        <f>IF(A49&gt;$B$5+$B$6+$B$7,0,(AE49-AB49*AG48)/(AC49-AB49*AF48))</f>
        <v/>
      </c>
      <c r="AH49" s="30">
        <f>IF(A49&gt;$B$5+$B$6+$B$7,0,AG49-AF49*AH50)</f>
        <v/>
      </c>
      <c r="AI49" s="31">
        <f>IF(A49&gt;$B$5+$B$6+$B$7,0,IF(C49&lt;&gt;0,J49/C49,0))</f>
        <v/>
      </c>
      <c r="AJ49" s="31">
        <f>IF(A49&gt;$B$5+$B$6+$B$7,0,IF(K49&lt;&gt;0,R49/K49,0))</f>
        <v/>
      </c>
      <c r="AK49" s="31">
        <f>IF(A49&gt;$B$5+$B$6+$B$7,0,IF(S49&lt;&gt;0,Z49/S49,0))</f>
        <v/>
      </c>
      <c r="AL49" s="31">
        <f>IF(A49&gt;$B$5+$B$6+$B$7,0,IF(AA49&lt;&gt;0,AH49/AA49,0))</f>
        <v/>
      </c>
      <c r="AM49" s="30">
        <f>J49+R49+Z49+AH49</f>
        <v/>
      </c>
      <c r="AN49" s="30">
        <f>AI49+AJ49+AK49+AL49</f>
        <v/>
      </c>
    </row>
    <row r="50">
      <c r="A50" s="27" t="n">
        <v>31</v>
      </c>
      <c r="B50" s="28">
        <f>IF(A50&gt;$B$5+$B$6+$B$7,"—",IF(A50&lt;=$B$6,"Extraction",IF(A50&lt;=$B$6+$B$7,"Scrub","Strip")))</f>
        <v/>
      </c>
      <c r="C50" s="29">
        <f>IF(A50&gt;$B$5+$B$6+$B$7,0,IF(A50&lt;=$B$6,$H$6*$B$9^$I$6,IF(A50&lt;=$B$6+$B$7,$H$6*$B$10^$I$6,$H$6*$B$11^$I$6)))</f>
        <v/>
      </c>
      <c r="D50" s="29">
        <f>IF(A50&gt;$B$5+$B$6+$B$7,0,IF(A50=1,0,$B$14))</f>
        <v/>
      </c>
      <c r="E50" s="29">
        <f>IF(A50&gt;$B$5+$B$6+$B$7,0,IF(A50&gt;$B$6+$B$7,-$B$14-$B$13/C50,IF(A50&gt;$B$6,-$B$14-$B$13*$B$15/C50,-$B$14-($B$13*$B$15+$B$12)/C50)))</f>
        <v/>
      </c>
      <c r="F50" s="29">
        <f>IF(A50&gt;$B$5+$B$6+$B$7,0,IF(A50+1&gt;$B$5+$B$6+$B$7,0,IF(A50&gt;$B$6+$B$7,$B$13/C51,IF(A50&gt;=$B$6,$B$13*$B$15/C51,($B$13*$B$15+$B$12)/C51))))</f>
        <v/>
      </c>
      <c r="G50" s="29">
        <f>IF(A50&gt;$B$5+$B$6+$B$7,0,IF(A50=$B$6,-$M$6*$B$12,0))</f>
        <v/>
      </c>
      <c r="H50" s="29">
        <f>IF(A50&gt;$B$5+$B$6+$B$7,0,F50/(E50-D50*H49))</f>
        <v/>
      </c>
      <c r="I50" s="29">
        <f>IF(A50&gt;$B$5+$B$6+$B$7,0,(G50-D50*I49)/(E50-D50*H49))</f>
        <v/>
      </c>
      <c r="J50" s="30">
        <f>IF(A50&gt;$B$5+$B$6+$B$7,0,I50-H50*J51)</f>
        <v/>
      </c>
      <c r="K50" s="29">
        <f>IF(A50&gt;$B$5+$B$6+$B$7,0,IF(A50&lt;=$B$6,$H$7*$B$9^$I$7,IF(A50&lt;=$B$6+$B$7,$H$7*$B$10^$I$7,$H$7*$B$11^$I$7)))</f>
        <v/>
      </c>
      <c r="L50" s="29">
        <f>IF(A50&gt;$B$5+$B$6+$B$7,0,IF(A50=1,0,$B$14))</f>
        <v/>
      </c>
      <c r="M50" s="29">
        <f>IF(A50&gt;$B$5+$B$6+$B$7,0,IF(A50&gt;$B$6+$B$7,-$B$14-$B$13/K50,IF(A50&gt;$B$6,-$B$14-$B$13*$B$15/K50,-$B$14-($B$13*$B$15+$B$12)/K50)))</f>
        <v/>
      </c>
      <c r="N50" s="29">
        <f>IF(A50&gt;$B$5+$B$6+$B$7,0,IF(A50+1&gt;$B$5+$B$6+$B$7,0,IF(A50&gt;$B$6+$B$7,$B$13/K51,IF(A50&gt;=$B$6,$B$13*$B$15/K51,($B$13*$B$15+$B$12)/K51))))</f>
        <v/>
      </c>
      <c r="O50" s="29">
        <f>IF(A50&gt;$B$5+$B$6+$B$7,0,IF(A50=$B$6,-$M$7*$B$12,0))</f>
        <v/>
      </c>
      <c r="P50" s="29">
        <f>IF(A50&gt;$B$5+$B$6+$B$7,0,N50/(M50-L50*P49))</f>
        <v/>
      </c>
      <c r="Q50" s="29">
        <f>IF(A50&gt;$B$5+$B$6+$B$7,0,(O50-L50*Q49)/(M50-L50*P49))</f>
        <v/>
      </c>
      <c r="R50" s="30">
        <f>IF(A50&gt;$B$5+$B$6+$B$7,0,Q50-P50*R51)</f>
        <v/>
      </c>
      <c r="S50" s="29">
        <f>IF(A50&gt;$B$5+$B$6+$B$7,0,IF(A50&lt;=$B$6,$H$8*$B$9^$I$8,IF(A50&lt;=$B$6+$B$7,$H$8*$B$10^$I$8,$H$8*$B$11^$I$8)))</f>
        <v/>
      </c>
      <c r="T50" s="29">
        <f>IF(A50&gt;$B$5+$B$6+$B$7,0,IF(A50=1,0,$B$14))</f>
        <v/>
      </c>
      <c r="U50" s="29">
        <f>IF(A50&gt;$B$5+$B$6+$B$7,0,IF(A50&gt;$B$6+$B$7,-$B$14-$B$13/S50,IF(A50&gt;$B$6,-$B$14-$B$13*$B$15/S50,-$B$14-($B$13*$B$15+$B$12)/S50)))</f>
        <v/>
      </c>
      <c r="V50" s="29">
        <f>IF(A50&gt;$B$5+$B$6+$B$7,0,IF(A50+1&gt;$B$5+$B$6+$B$7,0,IF(A50&gt;$B$6+$B$7,$B$13/S51,IF(A50&gt;=$B$6,$B$13*$B$15/S51,($B$13*$B$15+$B$12)/S51))))</f>
        <v/>
      </c>
      <c r="W50" s="29">
        <f>IF(A50&gt;$B$5+$B$6+$B$7,0,IF(A50=$B$6,-$M$8*$B$12,0))</f>
        <v/>
      </c>
      <c r="X50" s="29">
        <f>IF(A50&gt;$B$5+$B$6+$B$7,0,V50/(U50-T50*X49))</f>
        <v/>
      </c>
      <c r="Y50" s="29">
        <f>IF(A50&gt;$B$5+$B$6+$B$7,0,(W50-T50*Y49)/(U50-T50*X49))</f>
        <v/>
      </c>
      <c r="Z50" s="30">
        <f>IF(A50&gt;$B$5+$B$6+$B$7,0,Y50-X50*Z51)</f>
        <v/>
      </c>
      <c r="AA50" s="29">
        <f>IF(A50&gt;$B$5+$B$6+$B$7,0,IF(A50&lt;=$B$6,$H$9*$B$9^$I$9,IF(A50&lt;=$B$6+$B$7,$H$9*$B$10^$I$9,$H$9*$B$11^$I$9)))</f>
        <v/>
      </c>
      <c r="AB50" s="29">
        <f>IF(A50&gt;$B$5+$B$6+$B$7,0,IF(A50=1,0,$B$14))</f>
        <v/>
      </c>
      <c r="AC50" s="29">
        <f>IF(A50&gt;$B$5+$B$6+$B$7,0,IF(A50&gt;$B$6+$B$7,-$B$14-$B$13/AA50,IF(A50&gt;$B$6,-$B$14-$B$13*$B$15/AA50,-$B$14-($B$13*$B$15+$B$12)/AA50)))</f>
        <v/>
      </c>
      <c r="AD50" s="29">
        <f>IF(A50&gt;$B$5+$B$6+$B$7,0,IF(A50+1&gt;$B$5+$B$6+$B$7,0,IF(A50&gt;$B$6+$B$7,$B$13/AA51,IF(A50&gt;=$B$6,$B$13*$B$15/AA51,($B$13*$B$15+$B$12)/AA51))))</f>
        <v/>
      </c>
      <c r="AE50" s="29">
        <f>IF(A50&gt;$B$5+$B$6+$B$7,0,IF(A50=$B$6,-$M$9*$B$12,0))</f>
        <v/>
      </c>
      <c r="AF50" s="29">
        <f>IF(A50&gt;$B$5+$B$6+$B$7,0,AD50/(AC50-AB50*AF49))</f>
        <v/>
      </c>
      <c r="AG50" s="29">
        <f>IF(A50&gt;$B$5+$B$6+$B$7,0,(AE50-AB50*AG49)/(AC50-AB50*AF49))</f>
        <v/>
      </c>
      <c r="AH50" s="30">
        <f>IF(A50&gt;$B$5+$B$6+$B$7,0,AG50-AF50*AH51)</f>
        <v/>
      </c>
      <c r="AI50" s="31">
        <f>IF(A50&gt;$B$5+$B$6+$B$7,0,IF(C50&lt;&gt;0,J50/C50,0))</f>
        <v/>
      </c>
      <c r="AJ50" s="31">
        <f>IF(A50&gt;$B$5+$B$6+$B$7,0,IF(K50&lt;&gt;0,R50/K50,0))</f>
        <v/>
      </c>
      <c r="AK50" s="31">
        <f>IF(A50&gt;$B$5+$B$6+$B$7,0,IF(S50&lt;&gt;0,Z50/S50,0))</f>
        <v/>
      </c>
      <c r="AL50" s="31">
        <f>IF(A50&gt;$B$5+$B$6+$B$7,0,IF(AA50&lt;&gt;0,AH50/AA50,0))</f>
        <v/>
      </c>
      <c r="AM50" s="30">
        <f>J50+R50+Z50+AH50</f>
        <v/>
      </c>
      <c r="AN50" s="30">
        <f>AI50+AJ50+AK50+AL50</f>
        <v/>
      </c>
    </row>
    <row r="51">
      <c r="A51" s="27" t="n">
        <v>32</v>
      </c>
      <c r="B51" s="28">
        <f>IF(A51&gt;$B$5+$B$6+$B$7,"—",IF(A51&lt;=$B$6,"Extraction",IF(A51&lt;=$B$6+$B$7,"Scrub","Strip")))</f>
        <v/>
      </c>
      <c r="C51" s="29">
        <f>IF(A51&gt;$B$5+$B$6+$B$7,0,IF(A51&lt;=$B$6,$H$6*$B$9^$I$6,IF(A51&lt;=$B$6+$B$7,$H$6*$B$10^$I$6,$H$6*$B$11^$I$6)))</f>
        <v/>
      </c>
      <c r="D51" s="29">
        <f>IF(A51&gt;$B$5+$B$6+$B$7,0,IF(A51=1,0,$B$14))</f>
        <v/>
      </c>
      <c r="E51" s="29">
        <f>IF(A51&gt;$B$5+$B$6+$B$7,0,IF(A51&gt;$B$6+$B$7,-$B$14-$B$13/C51,IF(A51&gt;$B$6,-$B$14-$B$13*$B$15/C51,-$B$14-($B$13*$B$15+$B$12)/C51)))</f>
        <v/>
      </c>
      <c r="F51" s="29">
        <f>IF(A51&gt;$B$5+$B$6+$B$7,0,IF(A51+1&gt;$B$5+$B$6+$B$7,0,IF(A51&gt;$B$6+$B$7,$B$13/C52,IF(A51&gt;=$B$6,$B$13*$B$15/C52,($B$13*$B$15+$B$12)/C52))))</f>
        <v/>
      </c>
      <c r="G51" s="29">
        <f>IF(A51&gt;$B$5+$B$6+$B$7,0,IF(A51=$B$6,-$M$6*$B$12,0))</f>
        <v/>
      </c>
      <c r="H51" s="29">
        <f>IF(A51&gt;$B$5+$B$6+$B$7,0,F51/(E51-D51*H50))</f>
        <v/>
      </c>
      <c r="I51" s="29">
        <f>IF(A51&gt;$B$5+$B$6+$B$7,0,(G51-D51*I50)/(E51-D51*H50))</f>
        <v/>
      </c>
      <c r="J51" s="30">
        <f>IF(A51&gt;$B$5+$B$6+$B$7,0,I51-H51*J52)</f>
        <v/>
      </c>
      <c r="K51" s="29">
        <f>IF(A51&gt;$B$5+$B$6+$B$7,0,IF(A51&lt;=$B$6,$H$7*$B$9^$I$7,IF(A51&lt;=$B$6+$B$7,$H$7*$B$10^$I$7,$H$7*$B$11^$I$7)))</f>
        <v/>
      </c>
      <c r="L51" s="29">
        <f>IF(A51&gt;$B$5+$B$6+$B$7,0,IF(A51=1,0,$B$14))</f>
        <v/>
      </c>
      <c r="M51" s="29">
        <f>IF(A51&gt;$B$5+$B$6+$B$7,0,IF(A51&gt;$B$6+$B$7,-$B$14-$B$13/K51,IF(A51&gt;$B$6,-$B$14-$B$13*$B$15/K51,-$B$14-($B$13*$B$15+$B$12)/K51)))</f>
        <v/>
      </c>
      <c r="N51" s="29">
        <f>IF(A51&gt;$B$5+$B$6+$B$7,0,IF(A51+1&gt;$B$5+$B$6+$B$7,0,IF(A51&gt;$B$6+$B$7,$B$13/K52,IF(A51&gt;=$B$6,$B$13*$B$15/K52,($B$13*$B$15+$B$12)/K52))))</f>
        <v/>
      </c>
      <c r="O51" s="29">
        <f>IF(A51&gt;$B$5+$B$6+$B$7,0,IF(A51=$B$6,-$M$7*$B$12,0))</f>
        <v/>
      </c>
      <c r="P51" s="29">
        <f>IF(A51&gt;$B$5+$B$6+$B$7,0,N51/(M51-L51*P50))</f>
        <v/>
      </c>
      <c r="Q51" s="29">
        <f>IF(A51&gt;$B$5+$B$6+$B$7,0,(O51-L51*Q50)/(M51-L51*P50))</f>
        <v/>
      </c>
      <c r="R51" s="30">
        <f>IF(A51&gt;$B$5+$B$6+$B$7,0,Q51-P51*R52)</f>
        <v/>
      </c>
      <c r="S51" s="29">
        <f>IF(A51&gt;$B$5+$B$6+$B$7,0,IF(A51&lt;=$B$6,$H$8*$B$9^$I$8,IF(A51&lt;=$B$6+$B$7,$H$8*$B$10^$I$8,$H$8*$B$11^$I$8)))</f>
        <v/>
      </c>
      <c r="T51" s="29">
        <f>IF(A51&gt;$B$5+$B$6+$B$7,0,IF(A51=1,0,$B$14))</f>
        <v/>
      </c>
      <c r="U51" s="29">
        <f>IF(A51&gt;$B$5+$B$6+$B$7,0,IF(A51&gt;$B$6+$B$7,-$B$14-$B$13/S51,IF(A51&gt;$B$6,-$B$14-$B$13*$B$15/S51,-$B$14-($B$13*$B$15+$B$12)/S51)))</f>
        <v/>
      </c>
      <c r="V51" s="29">
        <f>IF(A51&gt;$B$5+$B$6+$B$7,0,IF(A51+1&gt;$B$5+$B$6+$B$7,0,IF(A51&gt;$B$6+$B$7,$B$13/S52,IF(A51&gt;=$B$6,$B$13*$B$15/S52,($B$13*$B$15+$B$12)/S52))))</f>
        <v/>
      </c>
      <c r="W51" s="29">
        <f>IF(A51&gt;$B$5+$B$6+$B$7,0,IF(A51=$B$6,-$M$8*$B$12,0))</f>
        <v/>
      </c>
      <c r="X51" s="29">
        <f>IF(A51&gt;$B$5+$B$6+$B$7,0,V51/(U51-T51*X50))</f>
        <v/>
      </c>
      <c r="Y51" s="29">
        <f>IF(A51&gt;$B$5+$B$6+$B$7,0,(W51-T51*Y50)/(U51-T51*X50))</f>
        <v/>
      </c>
      <c r="Z51" s="30">
        <f>IF(A51&gt;$B$5+$B$6+$B$7,0,Y51-X51*Z52)</f>
        <v/>
      </c>
      <c r="AA51" s="29">
        <f>IF(A51&gt;$B$5+$B$6+$B$7,0,IF(A51&lt;=$B$6,$H$9*$B$9^$I$9,IF(A51&lt;=$B$6+$B$7,$H$9*$B$10^$I$9,$H$9*$B$11^$I$9)))</f>
        <v/>
      </c>
      <c r="AB51" s="29">
        <f>IF(A51&gt;$B$5+$B$6+$B$7,0,IF(A51=1,0,$B$14))</f>
        <v/>
      </c>
      <c r="AC51" s="29">
        <f>IF(A51&gt;$B$5+$B$6+$B$7,0,IF(A51&gt;$B$6+$B$7,-$B$14-$B$13/AA51,IF(A51&gt;$B$6,-$B$14-$B$13*$B$15/AA51,-$B$14-($B$13*$B$15+$B$12)/AA51)))</f>
        <v/>
      </c>
      <c r="AD51" s="29">
        <f>IF(A51&gt;$B$5+$B$6+$B$7,0,IF(A51+1&gt;$B$5+$B$6+$B$7,0,IF(A51&gt;$B$6+$B$7,$B$13/AA52,IF(A51&gt;=$B$6,$B$13*$B$15/AA52,($B$13*$B$15+$B$12)/AA52))))</f>
        <v/>
      </c>
      <c r="AE51" s="29">
        <f>IF(A51&gt;$B$5+$B$6+$B$7,0,IF(A51=$B$6,-$M$9*$B$12,0))</f>
        <v/>
      </c>
      <c r="AF51" s="29">
        <f>IF(A51&gt;$B$5+$B$6+$B$7,0,AD51/(AC51-AB51*AF50))</f>
        <v/>
      </c>
      <c r="AG51" s="29">
        <f>IF(A51&gt;$B$5+$B$6+$B$7,0,(AE51-AB51*AG50)/(AC51-AB51*AF50))</f>
        <v/>
      </c>
      <c r="AH51" s="30">
        <f>IF(A51&gt;$B$5+$B$6+$B$7,0,AG51-AF51*AH52)</f>
        <v/>
      </c>
      <c r="AI51" s="31">
        <f>IF(A51&gt;$B$5+$B$6+$B$7,0,IF(C51&lt;&gt;0,J51/C51,0))</f>
        <v/>
      </c>
      <c r="AJ51" s="31">
        <f>IF(A51&gt;$B$5+$B$6+$B$7,0,IF(K51&lt;&gt;0,R51/K51,0))</f>
        <v/>
      </c>
      <c r="AK51" s="31">
        <f>IF(A51&gt;$B$5+$B$6+$B$7,0,IF(S51&lt;&gt;0,Z51/S51,0))</f>
        <v/>
      </c>
      <c r="AL51" s="31">
        <f>IF(A51&gt;$B$5+$B$6+$B$7,0,IF(AA51&lt;&gt;0,AH51/AA51,0))</f>
        <v/>
      </c>
      <c r="AM51" s="30">
        <f>J51+R51+Z51+AH51</f>
        <v/>
      </c>
      <c r="AN51" s="30">
        <f>AI51+AJ51+AK51+AL51</f>
        <v/>
      </c>
    </row>
    <row r="52">
      <c r="A52" s="27" t="n">
        <v>33</v>
      </c>
      <c r="B52" s="28">
        <f>IF(A52&gt;$B$5+$B$6+$B$7,"—",IF(A52&lt;=$B$6,"Extraction",IF(A52&lt;=$B$6+$B$7,"Scrub","Strip")))</f>
        <v/>
      </c>
      <c r="C52" s="29">
        <f>IF(A52&gt;$B$5+$B$6+$B$7,0,IF(A52&lt;=$B$6,$H$6*$B$9^$I$6,IF(A52&lt;=$B$6+$B$7,$H$6*$B$10^$I$6,$H$6*$B$11^$I$6)))</f>
        <v/>
      </c>
      <c r="D52" s="29">
        <f>IF(A52&gt;$B$5+$B$6+$B$7,0,IF(A52=1,0,$B$14))</f>
        <v/>
      </c>
      <c r="E52" s="29">
        <f>IF(A52&gt;$B$5+$B$6+$B$7,0,IF(A52&gt;$B$6+$B$7,-$B$14-$B$13/C52,IF(A52&gt;$B$6,-$B$14-$B$13*$B$15/C52,-$B$14-($B$13*$B$15+$B$12)/C52)))</f>
        <v/>
      </c>
      <c r="F52" s="29">
        <f>IF(A52&gt;$B$5+$B$6+$B$7,0,IF(A52+1&gt;$B$5+$B$6+$B$7,0,IF(A52&gt;$B$6+$B$7,$B$13/C53,IF(A52&gt;=$B$6,$B$13*$B$15/C53,($B$13*$B$15+$B$12)/C53))))</f>
        <v/>
      </c>
      <c r="G52" s="29">
        <f>IF(A52&gt;$B$5+$B$6+$B$7,0,IF(A52=$B$6,-$M$6*$B$12,0))</f>
        <v/>
      </c>
      <c r="H52" s="29">
        <f>IF(A52&gt;$B$5+$B$6+$B$7,0,F52/(E52-D52*H51))</f>
        <v/>
      </c>
      <c r="I52" s="29">
        <f>IF(A52&gt;$B$5+$B$6+$B$7,0,(G52-D52*I51)/(E52-D52*H51))</f>
        <v/>
      </c>
      <c r="J52" s="30">
        <f>IF(A52&gt;$B$5+$B$6+$B$7,0,I52-H52*J53)</f>
        <v/>
      </c>
      <c r="K52" s="29">
        <f>IF(A52&gt;$B$5+$B$6+$B$7,0,IF(A52&lt;=$B$6,$H$7*$B$9^$I$7,IF(A52&lt;=$B$6+$B$7,$H$7*$B$10^$I$7,$H$7*$B$11^$I$7)))</f>
        <v/>
      </c>
      <c r="L52" s="29">
        <f>IF(A52&gt;$B$5+$B$6+$B$7,0,IF(A52=1,0,$B$14))</f>
        <v/>
      </c>
      <c r="M52" s="29">
        <f>IF(A52&gt;$B$5+$B$6+$B$7,0,IF(A52&gt;$B$6+$B$7,-$B$14-$B$13/K52,IF(A52&gt;$B$6,-$B$14-$B$13*$B$15/K52,-$B$14-($B$13*$B$15+$B$12)/K52)))</f>
        <v/>
      </c>
      <c r="N52" s="29">
        <f>IF(A52&gt;$B$5+$B$6+$B$7,0,IF(A52+1&gt;$B$5+$B$6+$B$7,0,IF(A52&gt;$B$6+$B$7,$B$13/K53,IF(A52&gt;=$B$6,$B$13*$B$15/K53,($B$13*$B$15+$B$12)/K53))))</f>
        <v/>
      </c>
      <c r="O52" s="29">
        <f>IF(A52&gt;$B$5+$B$6+$B$7,0,IF(A52=$B$6,-$M$7*$B$12,0))</f>
        <v/>
      </c>
      <c r="P52" s="29">
        <f>IF(A52&gt;$B$5+$B$6+$B$7,0,N52/(M52-L52*P51))</f>
        <v/>
      </c>
      <c r="Q52" s="29">
        <f>IF(A52&gt;$B$5+$B$6+$B$7,0,(O52-L52*Q51)/(M52-L52*P51))</f>
        <v/>
      </c>
      <c r="R52" s="30">
        <f>IF(A52&gt;$B$5+$B$6+$B$7,0,Q52-P52*R53)</f>
        <v/>
      </c>
      <c r="S52" s="29">
        <f>IF(A52&gt;$B$5+$B$6+$B$7,0,IF(A52&lt;=$B$6,$H$8*$B$9^$I$8,IF(A52&lt;=$B$6+$B$7,$H$8*$B$10^$I$8,$H$8*$B$11^$I$8)))</f>
        <v/>
      </c>
      <c r="T52" s="29">
        <f>IF(A52&gt;$B$5+$B$6+$B$7,0,IF(A52=1,0,$B$14))</f>
        <v/>
      </c>
      <c r="U52" s="29">
        <f>IF(A52&gt;$B$5+$B$6+$B$7,0,IF(A52&gt;$B$6+$B$7,-$B$14-$B$13/S52,IF(A52&gt;$B$6,-$B$14-$B$13*$B$15/S52,-$B$14-($B$13*$B$15+$B$12)/S52)))</f>
        <v/>
      </c>
      <c r="V52" s="29">
        <f>IF(A52&gt;$B$5+$B$6+$B$7,0,IF(A52+1&gt;$B$5+$B$6+$B$7,0,IF(A52&gt;$B$6+$B$7,$B$13/S53,IF(A52&gt;=$B$6,$B$13*$B$15/S53,($B$13*$B$15+$B$12)/S53))))</f>
        <v/>
      </c>
      <c r="W52" s="29">
        <f>IF(A52&gt;$B$5+$B$6+$B$7,0,IF(A52=$B$6,-$M$8*$B$12,0))</f>
        <v/>
      </c>
      <c r="X52" s="29">
        <f>IF(A52&gt;$B$5+$B$6+$B$7,0,V52/(U52-T52*X51))</f>
        <v/>
      </c>
      <c r="Y52" s="29">
        <f>IF(A52&gt;$B$5+$B$6+$B$7,0,(W52-T52*Y51)/(U52-T52*X51))</f>
        <v/>
      </c>
      <c r="Z52" s="30">
        <f>IF(A52&gt;$B$5+$B$6+$B$7,0,Y52-X52*Z53)</f>
        <v/>
      </c>
      <c r="AA52" s="29">
        <f>IF(A52&gt;$B$5+$B$6+$B$7,0,IF(A52&lt;=$B$6,$H$9*$B$9^$I$9,IF(A52&lt;=$B$6+$B$7,$H$9*$B$10^$I$9,$H$9*$B$11^$I$9)))</f>
        <v/>
      </c>
      <c r="AB52" s="29">
        <f>IF(A52&gt;$B$5+$B$6+$B$7,0,IF(A52=1,0,$B$14))</f>
        <v/>
      </c>
      <c r="AC52" s="29">
        <f>IF(A52&gt;$B$5+$B$6+$B$7,0,IF(A52&gt;$B$6+$B$7,-$B$14-$B$13/AA52,IF(A52&gt;$B$6,-$B$14-$B$13*$B$15/AA52,-$B$14-($B$13*$B$15+$B$12)/AA52)))</f>
        <v/>
      </c>
      <c r="AD52" s="29">
        <f>IF(A52&gt;$B$5+$B$6+$B$7,0,IF(A52+1&gt;$B$5+$B$6+$B$7,0,IF(A52&gt;$B$6+$B$7,$B$13/AA53,IF(A52&gt;=$B$6,$B$13*$B$15/AA53,($B$13*$B$15+$B$12)/AA53))))</f>
        <v/>
      </c>
      <c r="AE52" s="29">
        <f>IF(A52&gt;$B$5+$B$6+$B$7,0,IF(A52=$B$6,-$M$9*$B$12,0))</f>
        <v/>
      </c>
      <c r="AF52" s="29">
        <f>IF(A52&gt;$B$5+$B$6+$B$7,0,AD52/(AC52-AB52*AF51))</f>
        <v/>
      </c>
      <c r="AG52" s="29">
        <f>IF(A52&gt;$B$5+$B$6+$B$7,0,(AE52-AB52*AG51)/(AC52-AB52*AF51))</f>
        <v/>
      </c>
      <c r="AH52" s="30">
        <f>IF(A52&gt;$B$5+$B$6+$B$7,0,AG52-AF52*AH53)</f>
        <v/>
      </c>
      <c r="AI52" s="31">
        <f>IF(A52&gt;$B$5+$B$6+$B$7,0,IF(C52&lt;&gt;0,J52/C52,0))</f>
        <v/>
      </c>
      <c r="AJ52" s="31">
        <f>IF(A52&gt;$B$5+$B$6+$B$7,0,IF(K52&lt;&gt;0,R52/K52,0))</f>
        <v/>
      </c>
      <c r="AK52" s="31">
        <f>IF(A52&gt;$B$5+$B$6+$B$7,0,IF(S52&lt;&gt;0,Z52/S52,0))</f>
        <v/>
      </c>
      <c r="AL52" s="31">
        <f>IF(A52&gt;$B$5+$B$6+$B$7,0,IF(AA52&lt;&gt;0,AH52/AA52,0))</f>
        <v/>
      </c>
      <c r="AM52" s="30">
        <f>J52+R52+Z52+AH52</f>
        <v/>
      </c>
      <c r="AN52" s="30">
        <f>AI52+AJ52+AK52+AL52</f>
        <v/>
      </c>
    </row>
    <row r="53">
      <c r="A53" s="27" t="n">
        <v>34</v>
      </c>
      <c r="B53" s="28">
        <f>IF(A53&gt;$B$5+$B$6+$B$7,"—",IF(A53&lt;=$B$6,"Extraction",IF(A53&lt;=$B$6+$B$7,"Scrub","Strip")))</f>
        <v/>
      </c>
      <c r="C53" s="29">
        <f>IF(A53&gt;$B$5+$B$6+$B$7,0,IF(A53&lt;=$B$6,$H$6*$B$9^$I$6,IF(A53&lt;=$B$6+$B$7,$H$6*$B$10^$I$6,$H$6*$B$11^$I$6)))</f>
        <v/>
      </c>
      <c r="D53" s="29">
        <f>IF(A53&gt;$B$5+$B$6+$B$7,0,IF(A53=1,0,$B$14))</f>
        <v/>
      </c>
      <c r="E53" s="29">
        <f>IF(A53&gt;$B$5+$B$6+$B$7,0,IF(A53&gt;$B$6+$B$7,-$B$14-$B$13/C53,IF(A53&gt;$B$6,-$B$14-$B$13*$B$15/C53,-$B$14-($B$13*$B$15+$B$12)/C53)))</f>
        <v/>
      </c>
      <c r="F53" s="29">
        <f>IF(A53&gt;$B$5+$B$6+$B$7,0,IF(A53+1&gt;$B$5+$B$6+$B$7,0,IF(A53&gt;$B$6+$B$7,$B$13/C54,IF(A53&gt;=$B$6,$B$13*$B$15/C54,($B$13*$B$15+$B$12)/C54))))</f>
        <v/>
      </c>
      <c r="G53" s="29">
        <f>IF(A53&gt;$B$5+$B$6+$B$7,0,IF(A53=$B$6,-$M$6*$B$12,0))</f>
        <v/>
      </c>
      <c r="H53" s="29">
        <f>IF(A53&gt;$B$5+$B$6+$B$7,0,F53/(E53-D53*H52))</f>
        <v/>
      </c>
      <c r="I53" s="29">
        <f>IF(A53&gt;$B$5+$B$6+$B$7,0,(G53-D53*I52)/(E53-D53*H52))</f>
        <v/>
      </c>
      <c r="J53" s="30">
        <f>IF(A53&gt;$B$5+$B$6+$B$7,0,I53-H53*J54)</f>
        <v/>
      </c>
      <c r="K53" s="29">
        <f>IF(A53&gt;$B$5+$B$6+$B$7,0,IF(A53&lt;=$B$6,$H$7*$B$9^$I$7,IF(A53&lt;=$B$6+$B$7,$H$7*$B$10^$I$7,$H$7*$B$11^$I$7)))</f>
        <v/>
      </c>
      <c r="L53" s="29">
        <f>IF(A53&gt;$B$5+$B$6+$B$7,0,IF(A53=1,0,$B$14))</f>
        <v/>
      </c>
      <c r="M53" s="29">
        <f>IF(A53&gt;$B$5+$B$6+$B$7,0,IF(A53&gt;$B$6+$B$7,-$B$14-$B$13/K53,IF(A53&gt;$B$6,-$B$14-$B$13*$B$15/K53,-$B$14-($B$13*$B$15+$B$12)/K53)))</f>
        <v/>
      </c>
      <c r="N53" s="29">
        <f>IF(A53&gt;$B$5+$B$6+$B$7,0,IF(A53+1&gt;$B$5+$B$6+$B$7,0,IF(A53&gt;$B$6+$B$7,$B$13/K54,IF(A53&gt;=$B$6,$B$13*$B$15/K54,($B$13*$B$15+$B$12)/K54))))</f>
        <v/>
      </c>
      <c r="O53" s="29">
        <f>IF(A53&gt;$B$5+$B$6+$B$7,0,IF(A53=$B$6,-$M$7*$B$12,0))</f>
        <v/>
      </c>
      <c r="P53" s="29">
        <f>IF(A53&gt;$B$5+$B$6+$B$7,0,N53/(M53-L53*P52))</f>
        <v/>
      </c>
      <c r="Q53" s="29">
        <f>IF(A53&gt;$B$5+$B$6+$B$7,0,(O53-L53*Q52)/(M53-L53*P52))</f>
        <v/>
      </c>
      <c r="R53" s="30">
        <f>IF(A53&gt;$B$5+$B$6+$B$7,0,Q53-P53*R54)</f>
        <v/>
      </c>
      <c r="S53" s="29">
        <f>IF(A53&gt;$B$5+$B$6+$B$7,0,IF(A53&lt;=$B$6,$H$8*$B$9^$I$8,IF(A53&lt;=$B$6+$B$7,$H$8*$B$10^$I$8,$H$8*$B$11^$I$8)))</f>
        <v/>
      </c>
      <c r="T53" s="29">
        <f>IF(A53&gt;$B$5+$B$6+$B$7,0,IF(A53=1,0,$B$14))</f>
        <v/>
      </c>
      <c r="U53" s="29">
        <f>IF(A53&gt;$B$5+$B$6+$B$7,0,IF(A53&gt;$B$6+$B$7,-$B$14-$B$13/S53,IF(A53&gt;$B$6,-$B$14-$B$13*$B$15/S53,-$B$14-($B$13*$B$15+$B$12)/S53)))</f>
        <v/>
      </c>
      <c r="V53" s="29">
        <f>IF(A53&gt;$B$5+$B$6+$B$7,0,IF(A53+1&gt;$B$5+$B$6+$B$7,0,IF(A53&gt;$B$6+$B$7,$B$13/S54,IF(A53&gt;=$B$6,$B$13*$B$15/S54,($B$13*$B$15+$B$12)/S54))))</f>
        <v/>
      </c>
      <c r="W53" s="29">
        <f>IF(A53&gt;$B$5+$B$6+$B$7,0,IF(A53=$B$6,-$M$8*$B$12,0))</f>
        <v/>
      </c>
      <c r="X53" s="29">
        <f>IF(A53&gt;$B$5+$B$6+$B$7,0,V53/(U53-T53*X52))</f>
        <v/>
      </c>
      <c r="Y53" s="29">
        <f>IF(A53&gt;$B$5+$B$6+$B$7,0,(W53-T53*Y52)/(U53-T53*X52))</f>
        <v/>
      </c>
      <c r="Z53" s="30">
        <f>IF(A53&gt;$B$5+$B$6+$B$7,0,Y53-X53*Z54)</f>
        <v/>
      </c>
      <c r="AA53" s="29">
        <f>IF(A53&gt;$B$5+$B$6+$B$7,0,IF(A53&lt;=$B$6,$H$9*$B$9^$I$9,IF(A53&lt;=$B$6+$B$7,$H$9*$B$10^$I$9,$H$9*$B$11^$I$9)))</f>
        <v/>
      </c>
      <c r="AB53" s="29">
        <f>IF(A53&gt;$B$5+$B$6+$B$7,0,IF(A53=1,0,$B$14))</f>
        <v/>
      </c>
      <c r="AC53" s="29">
        <f>IF(A53&gt;$B$5+$B$6+$B$7,0,IF(A53&gt;$B$6+$B$7,-$B$14-$B$13/AA53,IF(A53&gt;$B$6,-$B$14-$B$13*$B$15/AA53,-$B$14-($B$13*$B$15+$B$12)/AA53)))</f>
        <v/>
      </c>
      <c r="AD53" s="29">
        <f>IF(A53&gt;$B$5+$B$6+$B$7,0,IF(A53+1&gt;$B$5+$B$6+$B$7,0,IF(A53&gt;$B$6+$B$7,$B$13/AA54,IF(A53&gt;=$B$6,$B$13*$B$15/AA54,($B$13*$B$15+$B$12)/AA54))))</f>
        <v/>
      </c>
      <c r="AE53" s="29">
        <f>IF(A53&gt;$B$5+$B$6+$B$7,0,IF(A53=$B$6,-$M$9*$B$12,0))</f>
        <v/>
      </c>
      <c r="AF53" s="29">
        <f>IF(A53&gt;$B$5+$B$6+$B$7,0,AD53/(AC53-AB53*AF52))</f>
        <v/>
      </c>
      <c r="AG53" s="29">
        <f>IF(A53&gt;$B$5+$B$6+$B$7,0,(AE53-AB53*AG52)/(AC53-AB53*AF52))</f>
        <v/>
      </c>
      <c r="AH53" s="30">
        <f>IF(A53&gt;$B$5+$B$6+$B$7,0,AG53-AF53*AH54)</f>
        <v/>
      </c>
      <c r="AI53" s="31">
        <f>IF(A53&gt;$B$5+$B$6+$B$7,0,IF(C53&lt;&gt;0,J53/C53,0))</f>
        <v/>
      </c>
      <c r="AJ53" s="31">
        <f>IF(A53&gt;$B$5+$B$6+$B$7,0,IF(K53&lt;&gt;0,R53/K53,0))</f>
        <v/>
      </c>
      <c r="AK53" s="31">
        <f>IF(A53&gt;$B$5+$B$6+$B$7,0,IF(S53&lt;&gt;0,Z53/S53,0))</f>
        <v/>
      </c>
      <c r="AL53" s="31">
        <f>IF(A53&gt;$B$5+$B$6+$B$7,0,IF(AA53&lt;&gt;0,AH53/AA53,0))</f>
        <v/>
      </c>
      <c r="AM53" s="30">
        <f>J53+R53+Z53+AH53</f>
        <v/>
      </c>
      <c r="AN53" s="30">
        <f>AI53+AJ53+AK53+AL53</f>
        <v/>
      </c>
    </row>
    <row r="54">
      <c r="A54" s="27" t="n">
        <v>35</v>
      </c>
      <c r="B54" s="28">
        <f>IF(A54&gt;$B$5+$B$6+$B$7,"—",IF(A54&lt;=$B$6,"Extraction",IF(A54&lt;=$B$6+$B$7,"Scrub","Strip")))</f>
        <v/>
      </c>
      <c r="C54" s="29">
        <f>IF(A54&gt;$B$5+$B$6+$B$7,0,IF(A54&lt;=$B$6,$H$6*$B$9^$I$6,IF(A54&lt;=$B$6+$B$7,$H$6*$B$10^$I$6,$H$6*$B$11^$I$6)))</f>
        <v/>
      </c>
      <c r="D54" s="29">
        <f>IF(A54&gt;$B$5+$B$6+$B$7,0,IF(A54=1,0,$B$14))</f>
        <v/>
      </c>
      <c r="E54" s="29">
        <f>IF(A54&gt;$B$5+$B$6+$B$7,0,IF(A54&gt;$B$6+$B$7,-$B$14-$B$13/C54,IF(A54&gt;$B$6,-$B$14-$B$13*$B$15/C54,-$B$14-($B$13*$B$15+$B$12)/C54)))</f>
        <v/>
      </c>
      <c r="F54" s="29">
        <f>IF(A54&gt;$B$5+$B$6+$B$7,0,IF(A54+1&gt;$B$5+$B$6+$B$7,0,IF(A54&gt;$B$6+$B$7,$B$13/C55,IF(A54&gt;=$B$6,$B$13*$B$15/C55,($B$13*$B$15+$B$12)/C55))))</f>
        <v/>
      </c>
      <c r="G54" s="29">
        <f>IF(A54&gt;$B$5+$B$6+$B$7,0,IF(A54=$B$6,-$M$6*$B$12,0))</f>
        <v/>
      </c>
      <c r="H54" s="29">
        <f>IF(A54&gt;$B$5+$B$6+$B$7,0,F54/(E54-D54*H53))</f>
        <v/>
      </c>
      <c r="I54" s="29">
        <f>IF(A54&gt;$B$5+$B$6+$B$7,0,(G54-D54*I53)/(E54-D54*H53))</f>
        <v/>
      </c>
      <c r="J54" s="30">
        <f>IF(A54&gt;$B$5+$B$6+$B$7,0,I54-H54*J55)</f>
        <v/>
      </c>
      <c r="K54" s="29">
        <f>IF(A54&gt;$B$5+$B$6+$B$7,0,IF(A54&lt;=$B$6,$H$7*$B$9^$I$7,IF(A54&lt;=$B$6+$B$7,$H$7*$B$10^$I$7,$H$7*$B$11^$I$7)))</f>
        <v/>
      </c>
      <c r="L54" s="29">
        <f>IF(A54&gt;$B$5+$B$6+$B$7,0,IF(A54=1,0,$B$14))</f>
        <v/>
      </c>
      <c r="M54" s="29">
        <f>IF(A54&gt;$B$5+$B$6+$B$7,0,IF(A54&gt;$B$6+$B$7,-$B$14-$B$13/K54,IF(A54&gt;$B$6,-$B$14-$B$13*$B$15/K54,-$B$14-($B$13*$B$15+$B$12)/K54)))</f>
        <v/>
      </c>
      <c r="N54" s="29">
        <f>IF(A54&gt;$B$5+$B$6+$B$7,0,IF(A54+1&gt;$B$5+$B$6+$B$7,0,IF(A54&gt;$B$6+$B$7,$B$13/K55,IF(A54&gt;=$B$6,$B$13*$B$15/K55,($B$13*$B$15+$B$12)/K55))))</f>
        <v/>
      </c>
      <c r="O54" s="29">
        <f>IF(A54&gt;$B$5+$B$6+$B$7,0,IF(A54=$B$6,-$M$7*$B$12,0))</f>
        <v/>
      </c>
      <c r="P54" s="29">
        <f>IF(A54&gt;$B$5+$B$6+$B$7,0,N54/(M54-L54*P53))</f>
        <v/>
      </c>
      <c r="Q54" s="29">
        <f>IF(A54&gt;$B$5+$B$6+$B$7,0,(O54-L54*Q53)/(M54-L54*P53))</f>
        <v/>
      </c>
      <c r="R54" s="30">
        <f>IF(A54&gt;$B$5+$B$6+$B$7,0,Q54-P54*R55)</f>
        <v/>
      </c>
      <c r="S54" s="29">
        <f>IF(A54&gt;$B$5+$B$6+$B$7,0,IF(A54&lt;=$B$6,$H$8*$B$9^$I$8,IF(A54&lt;=$B$6+$B$7,$H$8*$B$10^$I$8,$H$8*$B$11^$I$8)))</f>
        <v/>
      </c>
      <c r="T54" s="29">
        <f>IF(A54&gt;$B$5+$B$6+$B$7,0,IF(A54=1,0,$B$14))</f>
        <v/>
      </c>
      <c r="U54" s="29">
        <f>IF(A54&gt;$B$5+$B$6+$B$7,0,IF(A54&gt;$B$6+$B$7,-$B$14-$B$13/S54,IF(A54&gt;$B$6,-$B$14-$B$13*$B$15/S54,-$B$14-($B$13*$B$15+$B$12)/S54)))</f>
        <v/>
      </c>
      <c r="V54" s="29">
        <f>IF(A54&gt;$B$5+$B$6+$B$7,0,IF(A54+1&gt;$B$5+$B$6+$B$7,0,IF(A54&gt;$B$6+$B$7,$B$13/S55,IF(A54&gt;=$B$6,$B$13*$B$15/S55,($B$13*$B$15+$B$12)/S55))))</f>
        <v/>
      </c>
      <c r="W54" s="29">
        <f>IF(A54&gt;$B$5+$B$6+$B$7,0,IF(A54=$B$6,-$M$8*$B$12,0))</f>
        <v/>
      </c>
      <c r="X54" s="29">
        <f>IF(A54&gt;$B$5+$B$6+$B$7,0,V54/(U54-T54*X53))</f>
        <v/>
      </c>
      <c r="Y54" s="29">
        <f>IF(A54&gt;$B$5+$B$6+$B$7,0,(W54-T54*Y53)/(U54-T54*X53))</f>
        <v/>
      </c>
      <c r="Z54" s="30">
        <f>IF(A54&gt;$B$5+$B$6+$B$7,0,Y54-X54*Z55)</f>
        <v/>
      </c>
      <c r="AA54" s="29">
        <f>IF(A54&gt;$B$5+$B$6+$B$7,0,IF(A54&lt;=$B$6,$H$9*$B$9^$I$9,IF(A54&lt;=$B$6+$B$7,$H$9*$B$10^$I$9,$H$9*$B$11^$I$9)))</f>
        <v/>
      </c>
      <c r="AB54" s="29">
        <f>IF(A54&gt;$B$5+$B$6+$B$7,0,IF(A54=1,0,$B$14))</f>
        <v/>
      </c>
      <c r="AC54" s="29">
        <f>IF(A54&gt;$B$5+$B$6+$B$7,0,IF(A54&gt;$B$6+$B$7,-$B$14-$B$13/AA54,IF(A54&gt;$B$6,-$B$14-$B$13*$B$15/AA54,-$B$14-($B$13*$B$15+$B$12)/AA54)))</f>
        <v/>
      </c>
      <c r="AD54" s="29">
        <f>IF(A54&gt;$B$5+$B$6+$B$7,0,IF(A54+1&gt;$B$5+$B$6+$B$7,0,IF(A54&gt;$B$6+$B$7,$B$13/AA55,IF(A54&gt;=$B$6,$B$13*$B$15/AA55,($B$13*$B$15+$B$12)/AA55))))</f>
        <v/>
      </c>
      <c r="AE54" s="29">
        <f>IF(A54&gt;$B$5+$B$6+$B$7,0,IF(A54=$B$6,-$M$9*$B$12,0))</f>
        <v/>
      </c>
      <c r="AF54" s="29">
        <f>IF(A54&gt;$B$5+$B$6+$B$7,0,AD54/(AC54-AB54*AF53))</f>
        <v/>
      </c>
      <c r="AG54" s="29">
        <f>IF(A54&gt;$B$5+$B$6+$B$7,0,(AE54-AB54*AG53)/(AC54-AB54*AF53))</f>
        <v/>
      </c>
      <c r="AH54" s="30">
        <f>IF(A54&gt;$B$5+$B$6+$B$7,0,AG54-AF54*AH55)</f>
        <v/>
      </c>
      <c r="AI54" s="31">
        <f>IF(A54&gt;$B$5+$B$6+$B$7,0,IF(C54&lt;&gt;0,J54/C54,0))</f>
        <v/>
      </c>
      <c r="AJ54" s="31">
        <f>IF(A54&gt;$B$5+$B$6+$B$7,0,IF(K54&lt;&gt;0,R54/K54,0))</f>
        <v/>
      </c>
      <c r="AK54" s="31">
        <f>IF(A54&gt;$B$5+$B$6+$B$7,0,IF(S54&lt;&gt;0,Z54/S54,0))</f>
        <v/>
      </c>
      <c r="AL54" s="31">
        <f>IF(A54&gt;$B$5+$B$6+$B$7,0,IF(AA54&lt;&gt;0,AH54/AA54,0))</f>
        <v/>
      </c>
      <c r="AM54" s="30">
        <f>J54+R54+Z54+AH54</f>
        <v/>
      </c>
      <c r="AN54" s="30">
        <f>AI54+AJ54+AK54+AL54</f>
        <v/>
      </c>
    </row>
    <row r="55">
      <c r="A55" s="27" t="n">
        <v>36</v>
      </c>
      <c r="B55" s="28">
        <f>IF(A55&gt;$B$5+$B$6+$B$7,"—",IF(A55&lt;=$B$6,"Extraction",IF(A55&lt;=$B$6+$B$7,"Scrub","Strip")))</f>
        <v/>
      </c>
      <c r="C55" s="29">
        <f>IF(A55&gt;$B$5+$B$6+$B$7,0,IF(A55&lt;=$B$6,$H$6*$B$9^$I$6,IF(A55&lt;=$B$6+$B$7,$H$6*$B$10^$I$6,$H$6*$B$11^$I$6)))</f>
        <v/>
      </c>
      <c r="D55" s="29">
        <f>IF(A55&gt;$B$5+$B$6+$B$7,0,IF(A55=1,0,$B$14))</f>
        <v/>
      </c>
      <c r="E55" s="29">
        <f>IF(A55&gt;$B$5+$B$6+$B$7,0,IF(A55&gt;$B$6+$B$7,-$B$14-$B$13/C55,IF(A55&gt;$B$6,-$B$14-$B$13*$B$15/C55,-$B$14-($B$13*$B$15+$B$12)/C55)))</f>
        <v/>
      </c>
      <c r="F55" s="29">
        <f>IF(A55&gt;$B$5+$B$6+$B$7,0,IF(A55+1&gt;$B$5+$B$6+$B$7,0,IF(A55&gt;$B$6+$B$7,$B$13/C56,IF(A55&gt;=$B$6,$B$13*$B$15/C56,($B$13*$B$15+$B$12)/C56))))</f>
        <v/>
      </c>
      <c r="G55" s="29">
        <f>IF(A55&gt;$B$5+$B$6+$B$7,0,IF(A55=$B$6,-$M$6*$B$12,0))</f>
        <v/>
      </c>
      <c r="H55" s="29">
        <f>IF(A55&gt;$B$5+$B$6+$B$7,0,F55/(E55-D55*H54))</f>
        <v/>
      </c>
      <c r="I55" s="29">
        <f>IF(A55&gt;$B$5+$B$6+$B$7,0,(G55-D55*I54)/(E55-D55*H54))</f>
        <v/>
      </c>
      <c r="J55" s="30">
        <f>IF(A55&gt;$B$5+$B$6+$B$7,0,I55-H55*J56)</f>
        <v/>
      </c>
      <c r="K55" s="29">
        <f>IF(A55&gt;$B$5+$B$6+$B$7,0,IF(A55&lt;=$B$6,$H$7*$B$9^$I$7,IF(A55&lt;=$B$6+$B$7,$H$7*$B$10^$I$7,$H$7*$B$11^$I$7)))</f>
        <v/>
      </c>
      <c r="L55" s="29">
        <f>IF(A55&gt;$B$5+$B$6+$B$7,0,IF(A55=1,0,$B$14))</f>
        <v/>
      </c>
      <c r="M55" s="29">
        <f>IF(A55&gt;$B$5+$B$6+$B$7,0,IF(A55&gt;$B$6+$B$7,-$B$14-$B$13/K55,IF(A55&gt;$B$6,-$B$14-$B$13*$B$15/K55,-$B$14-($B$13*$B$15+$B$12)/K55)))</f>
        <v/>
      </c>
      <c r="N55" s="29">
        <f>IF(A55&gt;$B$5+$B$6+$B$7,0,IF(A55+1&gt;$B$5+$B$6+$B$7,0,IF(A55&gt;$B$6+$B$7,$B$13/K56,IF(A55&gt;=$B$6,$B$13*$B$15/K56,($B$13*$B$15+$B$12)/K56))))</f>
        <v/>
      </c>
      <c r="O55" s="29">
        <f>IF(A55&gt;$B$5+$B$6+$B$7,0,IF(A55=$B$6,-$M$7*$B$12,0))</f>
        <v/>
      </c>
      <c r="P55" s="29">
        <f>IF(A55&gt;$B$5+$B$6+$B$7,0,N55/(M55-L55*P54))</f>
        <v/>
      </c>
      <c r="Q55" s="29">
        <f>IF(A55&gt;$B$5+$B$6+$B$7,0,(O55-L55*Q54)/(M55-L55*P54))</f>
        <v/>
      </c>
      <c r="R55" s="30">
        <f>IF(A55&gt;$B$5+$B$6+$B$7,0,Q55-P55*R56)</f>
        <v/>
      </c>
      <c r="S55" s="29">
        <f>IF(A55&gt;$B$5+$B$6+$B$7,0,IF(A55&lt;=$B$6,$H$8*$B$9^$I$8,IF(A55&lt;=$B$6+$B$7,$H$8*$B$10^$I$8,$H$8*$B$11^$I$8)))</f>
        <v/>
      </c>
      <c r="T55" s="29">
        <f>IF(A55&gt;$B$5+$B$6+$B$7,0,IF(A55=1,0,$B$14))</f>
        <v/>
      </c>
      <c r="U55" s="29">
        <f>IF(A55&gt;$B$5+$B$6+$B$7,0,IF(A55&gt;$B$6+$B$7,-$B$14-$B$13/S55,IF(A55&gt;$B$6,-$B$14-$B$13*$B$15/S55,-$B$14-($B$13*$B$15+$B$12)/S55)))</f>
        <v/>
      </c>
      <c r="V55" s="29">
        <f>IF(A55&gt;$B$5+$B$6+$B$7,0,IF(A55+1&gt;$B$5+$B$6+$B$7,0,IF(A55&gt;$B$6+$B$7,$B$13/S56,IF(A55&gt;=$B$6,$B$13*$B$15/S56,($B$13*$B$15+$B$12)/S56))))</f>
        <v/>
      </c>
      <c r="W55" s="29">
        <f>IF(A55&gt;$B$5+$B$6+$B$7,0,IF(A55=$B$6,-$M$8*$B$12,0))</f>
        <v/>
      </c>
      <c r="X55" s="29">
        <f>IF(A55&gt;$B$5+$B$6+$B$7,0,V55/(U55-T55*X54))</f>
        <v/>
      </c>
      <c r="Y55" s="29">
        <f>IF(A55&gt;$B$5+$B$6+$B$7,0,(W55-T55*Y54)/(U55-T55*X54))</f>
        <v/>
      </c>
      <c r="Z55" s="30">
        <f>IF(A55&gt;$B$5+$B$6+$B$7,0,Y55-X55*Z56)</f>
        <v/>
      </c>
      <c r="AA55" s="29">
        <f>IF(A55&gt;$B$5+$B$6+$B$7,0,IF(A55&lt;=$B$6,$H$9*$B$9^$I$9,IF(A55&lt;=$B$6+$B$7,$H$9*$B$10^$I$9,$H$9*$B$11^$I$9)))</f>
        <v/>
      </c>
      <c r="AB55" s="29">
        <f>IF(A55&gt;$B$5+$B$6+$B$7,0,IF(A55=1,0,$B$14))</f>
        <v/>
      </c>
      <c r="AC55" s="29">
        <f>IF(A55&gt;$B$5+$B$6+$B$7,0,IF(A55&gt;$B$6+$B$7,-$B$14-$B$13/AA55,IF(A55&gt;$B$6,-$B$14-$B$13*$B$15/AA55,-$B$14-($B$13*$B$15+$B$12)/AA55)))</f>
        <v/>
      </c>
      <c r="AD55" s="29">
        <f>IF(A55&gt;$B$5+$B$6+$B$7,0,IF(A55+1&gt;$B$5+$B$6+$B$7,0,IF(A55&gt;$B$6+$B$7,$B$13/AA56,IF(A55&gt;=$B$6,$B$13*$B$15/AA56,($B$13*$B$15+$B$12)/AA56))))</f>
        <v/>
      </c>
      <c r="AE55" s="29">
        <f>IF(A55&gt;$B$5+$B$6+$B$7,0,IF(A55=$B$6,-$M$9*$B$12,0))</f>
        <v/>
      </c>
      <c r="AF55" s="29">
        <f>IF(A55&gt;$B$5+$B$6+$B$7,0,AD55/(AC55-AB55*AF54))</f>
        <v/>
      </c>
      <c r="AG55" s="29">
        <f>IF(A55&gt;$B$5+$B$6+$B$7,0,(AE55-AB55*AG54)/(AC55-AB55*AF54))</f>
        <v/>
      </c>
      <c r="AH55" s="30">
        <f>IF(A55&gt;$B$5+$B$6+$B$7,0,AG55-AF55*AH56)</f>
        <v/>
      </c>
      <c r="AI55" s="31">
        <f>IF(A55&gt;$B$5+$B$6+$B$7,0,IF(C55&lt;&gt;0,J55/C55,0))</f>
        <v/>
      </c>
      <c r="AJ55" s="31">
        <f>IF(A55&gt;$B$5+$B$6+$B$7,0,IF(K55&lt;&gt;0,R55/K55,0))</f>
        <v/>
      </c>
      <c r="AK55" s="31">
        <f>IF(A55&gt;$B$5+$B$6+$B$7,0,IF(S55&lt;&gt;0,Z55/S55,0))</f>
        <v/>
      </c>
      <c r="AL55" s="31">
        <f>IF(A55&gt;$B$5+$B$6+$B$7,0,IF(AA55&lt;&gt;0,AH55/AA55,0))</f>
        <v/>
      </c>
      <c r="AM55" s="30">
        <f>J55+R55+Z55+AH55</f>
        <v/>
      </c>
      <c r="AN55" s="30">
        <f>AI55+AJ55+AK55+AL55</f>
        <v/>
      </c>
    </row>
    <row r="56">
      <c r="A56" s="27" t="n">
        <v>37</v>
      </c>
      <c r="B56" s="28">
        <f>IF(A56&gt;$B$5+$B$6+$B$7,"—",IF(A56&lt;=$B$6,"Extraction",IF(A56&lt;=$B$6+$B$7,"Scrub","Strip")))</f>
        <v/>
      </c>
      <c r="C56" s="29">
        <f>IF(A56&gt;$B$5+$B$6+$B$7,0,IF(A56&lt;=$B$6,$H$6*$B$9^$I$6,IF(A56&lt;=$B$6+$B$7,$H$6*$B$10^$I$6,$H$6*$B$11^$I$6)))</f>
        <v/>
      </c>
      <c r="D56" s="29">
        <f>IF(A56&gt;$B$5+$B$6+$B$7,0,IF(A56=1,0,$B$14))</f>
        <v/>
      </c>
      <c r="E56" s="29">
        <f>IF(A56&gt;$B$5+$B$6+$B$7,0,IF(A56&gt;$B$6+$B$7,-$B$14-$B$13/C56,IF(A56&gt;$B$6,-$B$14-$B$13*$B$15/C56,-$B$14-($B$13*$B$15+$B$12)/C56)))</f>
        <v/>
      </c>
      <c r="F56" s="29">
        <f>IF(A56&gt;$B$5+$B$6+$B$7,0,IF(A56+1&gt;$B$5+$B$6+$B$7,0,IF(A56&gt;$B$6+$B$7,$B$13/C57,IF(A56&gt;=$B$6,$B$13*$B$15/C57,($B$13*$B$15+$B$12)/C57))))</f>
        <v/>
      </c>
      <c r="G56" s="29">
        <f>IF(A56&gt;$B$5+$B$6+$B$7,0,IF(A56=$B$6,-$M$6*$B$12,0))</f>
        <v/>
      </c>
      <c r="H56" s="29">
        <f>IF(A56&gt;$B$5+$B$6+$B$7,0,F56/(E56-D56*H55))</f>
        <v/>
      </c>
      <c r="I56" s="29">
        <f>IF(A56&gt;$B$5+$B$6+$B$7,0,(G56-D56*I55)/(E56-D56*H55))</f>
        <v/>
      </c>
      <c r="J56" s="30">
        <f>IF(A56&gt;$B$5+$B$6+$B$7,0,I56-H56*J57)</f>
        <v/>
      </c>
      <c r="K56" s="29">
        <f>IF(A56&gt;$B$5+$B$6+$B$7,0,IF(A56&lt;=$B$6,$H$7*$B$9^$I$7,IF(A56&lt;=$B$6+$B$7,$H$7*$B$10^$I$7,$H$7*$B$11^$I$7)))</f>
        <v/>
      </c>
      <c r="L56" s="29">
        <f>IF(A56&gt;$B$5+$B$6+$B$7,0,IF(A56=1,0,$B$14))</f>
        <v/>
      </c>
      <c r="M56" s="29">
        <f>IF(A56&gt;$B$5+$B$6+$B$7,0,IF(A56&gt;$B$6+$B$7,-$B$14-$B$13/K56,IF(A56&gt;$B$6,-$B$14-$B$13*$B$15/K56,-$B$14-($B$13*$B$15+$B$12)/K56)))</f>
        <v/>
      </c>
      <c r="N56" s="29">
        <f>IF(A56&gt;$B$5+$B$6+$B$7,0,IF(A56+1&gt;$B$5+$B$6+$B$7,0,IF(A56&gt;$B$6+$B$7,$B$13/K57,IF(A56&gt;=$B$6,$B$13*$B$15/K57,($B$13*$B$15+$B$12)/K57))))</f>
        <v/>
      </c>
      <c r="O56" s="29">
        <f>IF(A56&gt;$B$5+$B$6+$B$7,0,IF(A56=$B$6,-$M$7*$B$12,0))</f>
        <v/>
      </c>
      <c r="P56" s="29">
        <f>IF(A56&gt;$B$5+$B$6+$B$7,0,N56/(M56-L56*P55))</f>
        <v/>
      </c>
      <c r="Q56" s="29">
        <f>IF(A56&gt;$B$5+$B$6+$B$7,0,(O56-L56*Q55)/(M56-L56*P55))</f>
        <v/>
      </c>
      <c r="R56" s="30">
        <f>IF(A56&gt;$B$5+$B$6+$B$7,0,Q56-P56*R57)</f>
        <v/>
      </c>
      <c r="S56" s="29">
        <f>IF(A56&gt;$B$5+$B$6+$B$7,0,IF(A56&lt;=$B$6,$H$8*$B$9^$I$8,IF(A56&lt;=$B$6+$B$7,$H$8*$B$10^$I$8,$H$8*$B$11^$I$8)))</f>
        <v/>
      </c>
      <c r="T56" s="29">
        <f>IF(A56&gt;$B$5+$B$6+$B$7,0,IF(A56=1,0,$B$14))</f>
        <v/>
      </c>
      <c r="U56" s="29">
        <f>IF(A56&gt;$B$5+$B$6+$B$7,0,IF(A56&gt;$B$6+$B$7,-$B$14-$B$13/S56,IF(A56&gt;$B$6,-$B$14-$B$13*$B$15/S56,-$B$14-($B$13*$B$15+$B$12)/S56)))</f>
        <v/>
      </c>
      <c r="V56" s="29">
        <f>IF(A56&gt;$B$5+$B$6+$B$7,0,IF(A56+1&gt;$B$5+$B$6+$B$7,0,IF(A56&gt;$B$6+$B$7,$B$13/S57,IF(A56&gt;=$B$6,$B$13*$B$15/S57,($B$13*$B$15+$B$12)/S57))))</f>
        <v/>
      </c>
      <c r="W56" s="29">
        <f>IF(A56&gt;$B$5+$B$6+$B$7,0,IF(A56=$B$6,-$M$8*$B$12,0))</f>
        <v/>
      </c>
      <c r="X56" s="29">
        <f>IF(A56&gt;$B$5+$B$6+$B$7,0,V56/(U56-T56*X55))</f>
        <v/>
      </c>
      <c r="Y56" s="29">
        <f>IF(A56&gt;$B$5+$B$6+$B$7,0,(W56-T56*Y55)/(U56-T56*X55))</f>
        <v/>
      </c>
      <c r="Z56" s="30">
        <f>IF(A56&gt;$B$5+$B$6+$B$7,0,Y56-X56*Z57)</f>
        <v/>
      </c>
      <c r="AA56" s="29">
        <f>IF(A56&gt;$B$5+$B$6+$B$7,0,IF(A56&lt;=$B$6,$H$9*$B$9^$I$9,IF(A56&lt;=$B$6+$B$7,$H$9*$B$10^$I$9,$H$9*$B$11^$I$9)))</f>
        <v/>
      </c>
      <c r="AB56" s="29">
        <f>IF(A56&gt;$B$5+$B$6+$B$7,0,IF(A56=1,0,$B$14))</f>
        <v/>
      </c>
      <c r="AC56" s="29">
        <f>IF(A56&gt;$B$5+$B$6+$B$7,0,IF(A56&gt;$B$6+$B$7,-$B$14-$B$13/AA56,IF(A56&gt;$B$6,-$B$14-$B$13*$B$15/AA56,-$B$14-($B$13*$B$15+$B$12)/AA56)))</f>
        <v/>
      </c>
      <c r="AD56" s="29">
        <f>IF(A56&gt;$B$5+$B$6+$B$7,0,IF(A56+1&gt;$B$5+$B$6+$B$7,0,IF(A56&gt;$B$6+$B$7,$B$13/AA57,IF(A56&gt;=$B$6,$B$13*$B$15/AA57,($B$13*$B$15+$B$12)/AA57))))</f>
        <v/>
      </c>
      <c r="AE56" s="29">
        <f>IF(A56&gt;$B$5+$B$6+$B$7,0,IF(A56=$B$6,-$M$9*$B$12,0))</f>
        <v/>
      </c>
      <c r="AF56" s="29">
        <f>IF(A56&gt;$B$5+$B$6+$B$7,0,AD56/(AC56-AB56*AF55))</f>
        <v/>
      </c>
      <c r="AG56" s="29">
        <f>IF(A56&gt;$B$5+$B$6+$B$7,0,(AE56-AB56*AG55)/(AC56-AB56*AF55))</f>
        <v/>
      </c>
      <c r="AH56" s="30">
        <f>IF(A56&gt;$B$5+$B$6+$B$7,0,AG56-AF56*AH57)</f>
        <v/>
      </c>
      <c r="AI56" s="31">
        <f>IF(A56&gt;$B$5+$B$6+$B$7,0,IF(C56&lt;&gt;0,J56/C56,0))</f>
        <v/>
      </c>
      <c r="AJ56" s="31">
        <f>IF(A56&gt;$B$5+$B$6+$B$7,0,IF(K56&lt;&gt;0,R56/K56,0))</f>
        <v/>
      </c>
      <c r="AK56" s="31">
        <f>IF(A56&gt;$B$5+$B$6+$B$7,0,IF(S56&lt;&gt;0,Z56/S56,0))</f>
        <v/>
      </c>
      <c r="AL56" s="31">
        <f>IF(A56&gt;$B$5+$B$6+$B$7,0,IF(AA56&lt;&gt;0,AH56/AA56,0))</f>
        <v/>
      </c>
      <c r="AM56" s="30">
        <f>J56+R56+Z56+AH56</f>
        <v/>
      </c>
      <c r="AN56" s="30">
        <f>AI56+AJ56+AK56+AL56</f>
        <v/>
      </c>
    </row>
    <row r="57">
      <c r="A57" s="27" t="n">
        <v>38</v>
      </c>
      <c r="B57" s="28">
        <f>IF(A57&gt;$B$5+$B$6+$B$7,"—",IF(A57&lt;=$B$6,"Extraction",IF(A57&lt;=$B$6+$B$7,"Scrub","Strip")))</f>
        <v/>
      </c>
      <c r="C57" s="29">
        <f>IF(A57&gt;$B$5+$B$6+$B$7,0,IF(A57&lt;=$B$6,$H$6*$B$9^$I$6,IF(A57&lt;=$B$6+$B$7,$H$6*$B$10^$I$6,$H$6*$B$11^$I$6)))</f>
        <v/>
      </c>
      <c r="D57" s="29">
        <f>IF(A57&gt;$B$5+$B$6+$B$7,0,IF(A57=1,0,$B$14))</f>
        <v/>
      </c>
      <c r="E57" s="29">
        <f>IF(A57&gt;$B$5+$B$6+$B$7,0,IF(A57&gt;$B$6+$B$7,-$B$14-$B$13/C57,IF(A57&gt;$B$6,-$B$14-$B$13*$B$15/C57,-$B$14-($B$13*$B$15+$B$12)/C57)))</f>
        <v/>
      </c>
      <c r="F57" s="29">
        <f>IF(A57&gt;$B$5+$B$6+$B$7,0,IF(A57+1&gt;$B$5+$B$6+$B$7,0,IF(A57&gt;$B$6+$B$7,$B$13/C58,IF(A57&gt;=$B$6,$B$13*$B$15/C58,($B$13*$B$15+$B$12)/C58))))</f>
        <v/>
      </c>
      <c r="G57" s="29">
        <f>IF(A57&gt;$B$5+$B$6+$B$7,0,IF(A57=$B$6,-$M$6*$B$12,0))</f>
        <v/>
      </c>
      <c r="H57" s="29">
        <f>IF(A57&gt;$B$5+$B$6+$B$7,0,F57/(E57-D57*H56))</f>
        <v/>
      </c>
      <c r="I57" s="29">
        <f>IF(A57&gt;$B$5+$B$6+$B$7,0,(G57-D57*I56)/(E57-D57*H56))</f>
        <v/>
      </c>
      <c r="J57" s="30">
        <f>IF(A57&gt;$B$5+$B$6+$B$7,0,I57-H57*J58)</f>
        <v/>
      </c>
      <c r="K57" s="29">
        <f>IF(A57&gt;$B$5+$B$6+$B$7,0,IF(A57&lt;=$B$6,$H$7*$B$9^$I$7,IF(A57&lt;=$B$6+$B$7,$H$7*$B$10^$I$7,$H$7*$B$11^$I$7)))</f>
        <v/>
      </c>
      <c r="L57" s="29">
        <f>IF(A57&gt;$B$5+$B$6+$B$7,0,IF(A57=1,0,$B$14))</f>
        <v/>
      </c>
      <c r="M57" s="29">
        <f>IF(A57&gt;$B$5+$B$6+$B$7,0,IF(A57&gt;$B$6+$B$7,-$B$14-$B$13/K57,IF(A57&gt;$B$6,-$B$14-$B$13*$B$15/K57,-$B$14-($B$13*$B$15+$B$12)/K57)))</f>
        <v/>
      </c>
      <c r="N57" s="29">
        <f>IF(A57&gt;$B$5+$B$6+$B$7,0,IF(A57+1&gt;$B$5+$B$6+$B$7,0,IF(A57&gt;$B$6+$B$7,$B$13/K58,IF(A57&gt;=$B$6,$B$13*$B$15/K58,($B$13*$B$15+$B$12)/K58))))</f>
        <v/>
      </c>
      <c r="O57" s="29">
        <f>IF(A57&gt;$B$5+$B$6+$B$7,0,IF(A57=$B$6,-$M$7*$B$12,0))</f>
        <v/>
      </c>
      <c r="P57" s="29">
        <f>IF(A57&gt;$B$5+$B$6+$B$7,0,N57/(M57-L57*P56))</f>
        <v/>
      </c>
      <c r="Q57" s="29">
        <f>IF(A57&gt;$B$5+$B$6+$B$7,0,(O57-L57*Q56)/(M57-L57*P56))</f>
        <v/>
      </c>
      <c r="R57" s="30">
        <f>IF(A57&gt;$B$5+$B$6+$B$7,0,Q57-P57*R58)</f>
        <v/>
      </c>
      <c r="S57" s="29">
        <f>IF(A57&gt;$B$5+$B$6+$B$7,0,IF(A57&lt;=$B$6,$H$8*$B$9^$I$8,IF(A57&lt;=$B$6+$B$7,$H$8*$B$10^$I$8,$H$8*$B$11^$I$8)))</f>
        <v/>
      </c>
      <c r="T57" s="29">
        <f>IF(A57&gt;$B$5+$B$6+$B$7,0,IF(A57=1,0,$B$14))</f>
        <v/>
      </c>
      <c r="U57" s="29">
        <f>IF(A57&gt;$B$5+$B$6+$B$7,0,IF(A57&gt;$B$6+$B$7,-$B$14-$B$13/S57,IF(A57&gt;$B$6,-$B$14-$B$13*$B$15/S57,-$B$14-($B$13*$B$15+$B$12)/S57)))</f>
        <v/>
      </c>
      <c r="V57" s="29">
        <f>IF(A57&gt;$B$5+$B$6+$B$7,0,IF(A57+1&gt;$B$5+$B$6+$B$7,0,IF(A57&gt;$B$6+$B$7,$B$13/S58,IF(A57&gt;=$B$6,$B$13*$B$15/S58,($B$13*$B$15+$B$12)/S58))))</f>
        <v/>
      </c>
      <c r="W57" s="29">
        <f>IF(A57&gt;$B$5+$B$6+$B$7,0,IF(A57=$B$6,-$M$8*$B$12,0))</f>
        <v/>
      </c>
      <c r="X57" s="29">
        <f>IF(A57&gt;$B$5+$B$6+$B$7,0,V57/(U57-T57*X56))</f>
        <v/>
      </c>
      <c r="Y57" s="29">
        <f>IF(A57&gt;$B$5+$B$6+$B$7,0,(W57-T57*Y56)/(U57-T57*X56))</f>
        <v/>
      </c>
      <c r="Z57" s="30">
        <f>IF(A57&gt;$B$5+$B$6+$B$7,0,Y57-X57*Z58)</f>
        <v/>
      </c>
      <c r="AA57" s="29">
        <f>IF(A57&gt;$B$5+$B$6+$B$7,0,IF(A57&lt;=$B$6,$H$9*$B$9^$I$9,IF(A57&lt;=$B$6+$B$7,$H$9*$B$10^$I$9,$H$9*$B$11^$I$9)))</f>
        <v/>
      </c>
      <c r="AB57" s="29">
        <f>IF(A57&gt;$B$5+$B$6+$B$7,0,IF(A57=1,0,$B$14))</f>
        <v/>
      </c>
      <c r="AC57" s="29">
        <f>IF(A57&gt;$B$5+$B$6+$B$7,0,IF(A57&gt;$B$6+$B$7,-$B$14-$B$13/AA57,IF(A57&gt;$B$6,-$B$14-$B$13*$B$15/AA57,-$B$14-($B$13*$B$15+$B$12)/AA57)))</f>
        <v/>
      </c>
      <c r="AD57" s="29">
        <f>IF(A57&gt;$B$5+$B$6+$B$7,0,IF(A57+1&gt;$B$5+$B$6+$B$7,0,IF(A57&gt;$B$6+$B$7,$B$13/AA58,IF(A57&gt;=$B$6,$B$13*$B$15/AA58,($B$13*$B$15+$B$12)/AA58))))</f>
        <v/>
      </c>
      <c r="AE57" s="29">
        <f>IF(A57&gt;$B$5+$B$6+$B$7,0,IF(A57=$B$6,-$M$9*$B$12,0))</f>
        <v/>
      </c>
      <c r="AF57" s="29">
        <f>IF(A57&gt;$B$5+$B$6+$B$7,0,AD57/(AC57-AB57*AF56))</f>
        <v/>
      </c>
      <c r="AG57" s="29">
        <f>IF(A57&gt;$B$5+$B$6+$B$7,0,(AE57-AB57*AG56)/(AC57-AB57*AF56))</f>
        <v/>
      </c>
      <c r="AH57" s="30">
        <f>IF(A57&gt;$B$5+$B$6+$B$7,0,AG57-AF57*AH58)</f>
        <v/>
      </c>
      <c r="AI57" s="31">
        <f>IF(A57&gt;$B$5+$B$6+$B$7,0,IF(C57&lt;&gt;0,J57/C57,0))</f>
        <v/>
      </c>
      <c r="AJ57" s="31">
        <f>IF(A57&gt;$B$5+$B$6+$B$7,0,IF(K57&lt;&gt;0,R57/K57,0))</f>
        <v/>
      </c>
      <c r="AK57" s="31">
        <f>IF(A57&gt;$B$5+$B$6+$B$7,0,IF(S57&lt;&gt;0,Z57/S57,0))</f>
        <v/>
      </c>
      <c r="AL57" s="31">
        <f>IF(A57&gt;$B$5+$B$6+$B$7,0,IF(AA57&lt;&gt;0,AH57/AA57,0))</f>
        <v/>
      </c>
      <c r="AM57" s="30">
        <f>J57+R57+Z57+AH57</f>
        <v/>
      </c>
      <c r="AN57" s="30">
        <f>AI57+AJ57+AK57+AL57</f>
        <v/>
      </c>
    </row>
    <row r="58">
      <c r="A58" s="27" t="n">
        <v>39</v>
      </c>
      <c r="B58" s="28">
        <f>IF(A58&gt;$B$5+$B$6+$B$7,"—",IF(A58&lt;=$B$6,"Extraction",IF(A58&lt;=$B$6+$B$7,"Scrub","Strip")))</f>
        <v/>
      </c>
      <c r="C58" s="29">
        <f>IF(A58&gt;$B$5+$B$6+$B$7,0,IF(A58&lt;=$B$6,$H$6*$B$9^$I$6,IF(A58&lt;=$B$6+$B$7,$H$6*$B$10^$I$6,$H$6*$B$11^$I$6)))</f>
        <v/>
      </c>
      <c r="D58" s="29">
        <f>IF(A58&gt;$B$5+$B$6+$B$7,0,IF(A58=1,0,$B$14))</f>
        <v/>
      </c>
      <c r="E58" s="29">
        <f>IF(A58&gt;$B$5+$B$6+$B$7,0,IF(A58&gt;$B$6+$B$7,-$B$14-$B$13/C58,IF(A58&gt;$B$6,-$B$14-$B$13*$B$15/C58,-$B$14-($B$13*$B$15+$B$12)/C58)))</f>
        <v/>
      </c>
      <c r="F58" s="29">
        <f>IF(A58&gt;$B$5+$B$6+$B$7,0,IF(A58+1&gt;$B$5+$B$6+$B$7,0,IF(A58&gt;$B$6+$B$7,$B$13/C59,IF(A58&gt;=$B$6,$B$13*$B$15/C59,($B$13*$B$15+$B$12)/C59))))</f>
        <v/>
      </c>
      <c r="G58" s="29">
        <f>IF(A58&gt;$B$5+$B$6+$B$7,0,IF(A58=$B$6,-$M$6*$B$12,0))</f>
        <v/>
      </c>
      <c r="H58" s="29">
        <f>IF(A58&gt;$B$5+$B$6+$B$7,0,F58/(E58-D58*H57))</f>
        <v/>
      </c>
      <c r="I58" s="29">
        <f>IF(A58&gt;$B$5+$B$6+$B$7,0,(G58-D58*I57)/(E58-D58*H57))</f>
        <v/>
      </c>
      <c r="J58" s="30">
        <f>IF(A58&gt;$B$5+$B$6+$B$7,0,I58-H58*J59)</f>
        <v/>
      </c>
      <c r="K58" s="29">
        <f>IF(A58&gt;$B$5+$B$6+$B$7,0,IF(A58&lt;=$B$6,$H$7*$B$9^$I$7,IF(A58&lt;=$B$6+$B$7,$H$7*$B$10^$I$7,$H$7*$B$11^$I$7)))</f>
        <v/>
      </c>
      <c r="L58" s="29">
        <f>IF(A58&gt;$B$5+$B$6+$B$7,0,IF(A58=1,0,$B$14))</f>
        <v/>
      </c>
      <c r="M58" s="29">
        <f>IF(A58&gt;$B$5+$B$6+$B$7,0,IF(A58&gt;$B$6+$B$7,-$B$14-$B$13/K58,IF(A58&gt;$B$6,-$B$14-$B$13*$B$15/K58,-$B$14-($B$13*$B$15+$B$12)/K58)))</f>
        <v/>
      </c>
      <c r="N58" s="29">
        <f>IF(A58&gt;$B$5+$B$6+$B$7,0,IF(A58+1&gt;$B$5+$B$6+$B$7,0,IF(A58&gt;$B$6+$B$7,$B$13/K59,IF(A58&gt;=$B$6,$B$13*$B$15/K59,($B$13*$B$15+$B$12)/K59))))</f>
        <v/>
      </c>
      <c r="O58" s="29">
        <f>IF(A58&gt;$B$5+$B$6+$B$7,0,IF(A58=$B$6,-$M$7*$B$12,0))</f>
        <v/>
      </c>
      <c r="P58" s="29">
        <f>IF(A58&gt;$B$5+$B$6+$B$7,0,N58/(M58-L58*P57))</f>
        <v/>
      </c>
      <c r="Q58" s="29">
        <f>IF(A58&gt;$B$5+$B$6+$B$7,0,(O58-L58*Q57)/(M58-L58*P57))</f>
        <v/>
      </c>
      <c r="R58" s="30">
        <f>IF(A58&gt;$B$5+$B$6+$B$7,0,Q58-P58*R59)</f>
        <v/>
      </c>
      <c r="S58" s="29">
        <f>IF(A58&gt;$B$5+$B$6+$B$7,0,IF(A58&lt;=$B$6,$H$8*$B$9^$I$8,IF(A58&lt;=$B$6+$B$7,$H$8*$B$10^$I$8,$H$8*$B$11^$I$8)))</f>
        <v/>
      </c>
      <c r="T58" s="29">
        <f>IF(A58&gt;$B$5+$B$6+$B$7,0,IF(A58=1,0,$B$14))</f>
        <v/>
      </c>
      <c r="U58" s="29">
        <f>IF(A58&gt;$B$5+$B$6+$B$7,0,IF(A58&gt;$B$6+$B$7,-$B$14-$B$13/S58,IF(A58&gt;$B$6,-$B$14-$B$13*$B$15/S58,-$B$14-($B$13*$B$15+$B$12)/S58)))</f>
        <v/>
      </c>
      <c r="V58" s="29">
        <f>IF(A58&gt;$B$5+$B$6+$B$7,0,IF(A58+1&gt;$B$5+$B$6+$B$7,0,IF(A58&gt;$B$6+$B$7,$B$13/S59,IF(A58&gt;=$B$6,$B$13*$B$15/S59,($B$13*$B$15+$B$12)/S59))))</f>
        <v/>
      </c>
      <c r="W58" s="29">
        <f>IF(A58&gt;$B$5+$B$6+$B$7,0,IF(A58=$B$6,-$M$8*$B$12,0))</f>
        <v/>
      </c>
      <c r="X58" s="29">
        <f>IF(A58&gt;$B$5+$B$6+$B$7,0,V58/(U58-T58*X57))</f>
        <v/>
      </c>
      <c r="Y58" s="29">
        <f>IF(A58&gt;$B$5+$B$6+$B$7,0,(W58-T58*Y57)/(U58-T58*X57))</f>
        <v/>
      </c>
      <c r="Z58" s="30">
        <f>IF(A58&gt;$B$5+$B$6+$B$7,0,Y58-X58*Z59)</f>
        <v/>
      </c>
      <c r="AA58" s="29">
        <f>IF(A58&gt;$B$5+$B$6+$B$7,0,IF(A58&lt;=$B$6,$H$9*$B$9^$I$9,IF(A58&lt;=$B$6+$B$7,$H$9*$B$10^$I$9,$H$9*$B$11^$I$9)))</f>
        <v/>
      </c>
      <c r="AB58" s="29">
        <f>IF(A58&gt;$B$5+$B$6+$B$7,0,IF(A58=1,0,$B$14))</f>
        <v/>
      </c>
      <c r="AC58" s="29">
        <f>IF(A58&gt;$B$5+$B$6+$B$7,0,IF(A58&gt;$B$6+$B$7,-$B$14-$B$13/AA58,IF(A58&gt;$B$6,-$B$14-$B$13*$B$15/AA58,-$B$14-($B$13*$B$15+$B$12)/AA58)))</f>
        <v/>
      </c>
      <c r="AD58" s="29">
        <f>IF(A58&gt;$B$5+$B$6+$B$7,0,IF(A58+1&gt;$B$5+$B$6+$B$7,0,IF(A58&gt;$B$6+$B$7,$B$13/AA59,IF(A58&gt;=$B$6,$B$13*$B$15/AA59,($B$13*$B$15+$B$12)/AA59))))</f>
        <v/>
      </c>
      <c r="AE58" s="29">
        <f>IF(A58&gt;$B$5+$B$6+$B$7,0,IF(A58=$B$6,-$M$9*$B$12,0))</f>
        <v/>
      </c>
      <c r="AF58" s="29">
        <f>IF(A58&gt;$B$5+$B$6+$B$7,0,AD58/(AC58-AB58*AF57))</f>
        <v/>
      </c>
      <c r="AG58" s="29">
        <f>IF(A58&gt;$B$5+$B$6+$B$7,0,(AE58-AB58*AG57)/(AC58-AB58*AF57))</f>
        <v/>
      </c>
      <c r="AH58" s="30">
        <f>IF(A58&gt;$B$5+$B$6+$B$7,0,AG58-AF58*AH59)</f>
        <v/>
      </c>
      <c r="AI58" s="31">
        <f>IF(A58&gt;$B$5+$B$6+$B$7,0,IF(C58&lt;&gt;0,J58/C58,0))</f>
        <v/>
      </c>
      <c r="AJ58" s="31">
        <f>IF(A58&gt;$B$5+$B$6+$B$7,0,IF(K58&lt;&gt;0,R58/K58,0))</f>
        <v/>
      </c>
      <c r="AK58" s="31">
        <f>IF(A58&gt;$B$5+$B$6+$B$7,0,IF(S58&lt;&gt;0,Z58/S58,0))</f>
        <v/>
      </c>
      <c r="AL58" s="31">
        <f>IF(A58&gt;$B$5+$B$6+$B$7,0,IF(AA58&lt;&gt;0,AH58/AA58,0))</f>
        <v/>
      </c>
      <c r="AM58" s="30">
        <f>J58+R58+Z58+AH58</f>
        <v/>
      </c>
      <c r="AN58" s="30">
        <f>AI58+AJ58+AK58+AL58</f>
        <v/>
      </c>
    </row>
    <row r="59">
      <c r="A59" s="27" t="n">
        <v>40</v>
      </c>
      <c r="B59" s="28">
        <f>IF(A59&gt;$B$5+$B$6+$B$7,"—",IF(A59&lt;=$B$6,"Extraction",IF(A59&lt;=$B$6+$B$7,"Scrub","Strip")))</f>
        <v/>
      </c>
      <c r="C59" s="29">
        <f>IF(A59&gt;$B$5+$B$6+$B$7,0,IF(A59&lt;=$B$6,$H$6*$B$9^$I$6,IF(A59&lt;=$B$6+$B$7,$H$6*$B$10^$I$6,$H$6*$B$11^$I$6)))</f>
        <v/>
      </c>
      <c r="D59" s="29">
        <f>IF(A59&gt;$B$5+$B$6+$B$7,0,IF(A59=1,0,$B$14))</f>
        <v/>
      </c>
      <c r="E59" s="29">
        <f>IF(A59&gt;$B$5+$B$6+$B$7,0,IF(A59&gt;$B$6+$B$7,-$B$14-$B$13/C59,IF(A59&gt;$B$6,-$B$14-$B$13*$B$15/C59,-$B$14-($B$13*$B$15+$B$12)/C59)))</f>
        <v/>
      </c>
      <c r="F59" s="29">
        <f>IF(A59&gt;$B$5+$B$6+$B$7,0,IF(A59+1&gt;$B$5+$B$6+$B$7,0,IF(A59&gt;$B$6+$B$7,$B$13/C60,IF(A59&gt;=$B$6,$B$13*$B$15/C60,($B$13*$B$15+$B$12)/C60))))</f>
        <v/>
      </c>
      <c r="G59" s="29">
        <f>IF(A59&gt;$B$5+$B$6+$B$7,0,IF(A59=$B$6,-$M$6*$B$12,0))</f>
        <v/>
      </c>
      <c r="H59" s="29">
        <f>IF(A59&gt;$B$5+$B$6+$B$7,0,F59/(E59-D59*H58))</f>
        <v/>
      </c>
      <c r="I59" s="29">
        <f>IF(A59&gt;$B$5+$B$6+$B$7,0,(G59-D59*I58)/(E59-D59*H58))</f>
        <v/>
      </c>
      <c r="J59" s="30">
        <f>IF(A59&gt;$B$5+$B$6+$B$7,0,I59-H59*J60)</f>
        <v/>
      </c>
      <c r="K59" s="29">
        <f>IF(A59&gt;$B$5+$B$6+$B$7,0,IF(A59&lt;=$B$6,$H$7*$B$9^$I$7,IF(A59&lt;=$B$6+$B$7,$H$7*$B$10^$I$7,$H$7*$B$11^$I$7)))</f>
        <v/>
      </c>
      <c r="L59" s="29">
        <f>IF(A59&gt;$B$5+$B$6+$B$7,0,IF(A59=1,0,$B$14))</f>
        <v/>
      </c>
      <c r="M59" s="29">
        <f>IF(A59&gt;$B$5+$B$6+$B$7,0,IF(A59&gt;$B$6+$B$7,-$B$14-$B$13/K59,IF(A59&gt;$B$6,-$B$14-$B$13*$B$15/K59,-$B$14-($B$13*$B$15+$B$12)/K59)))</f>
        <v/>
      </c>
      <c r="N59" s="29">
        <f>IF(A59&gt;$B$5+$B$6+$B$7,0,IF(A59+1&gt;$B$5+$B$6+$B$7,0,IF(A59&gt;$B$6+$B$7,$B$13/K60,IF(A59&gt;=$B$6,$B$13*$B$15/K60,($B$13*$B$15+$B$12)/K60))))</f>
        <v/>
      </c>
      <c r="O59" s="29">
        <f>IF(A59&gt;$B$5+$B$6+$B$7,0,IF(A59=$B$6,-$M$7*$B$12,0))</f>
        <v/>
      </c>
      <c r="P59" s="29">
        <f>IF(A59&gt;$B$5+$B$6+$B$7,0,N59/(M59-L59*P58))</f>
        <v/>
      </c>
      <c r="Q59" s="29">
        <f>IF(A59&gt;$B$5+$B$6+$B$7,0,(O59-L59*Q58)/(M59-L59*P58))</f>
        <v/>
      </c>
      <c r="R59" s="30">
        <f>IF(A59&gt;$B$5+$B$6+$B$7,0,Q59-P59*R60)</f>
        <v/>
      </c>
      <c r="S59" s="29">
        <f>IF(A59&gt;$B$5+$B$6+$B$7,0,IF(A59&lt;=$B$6,$H$8*$B$9^$I$8,IF(A59&lt;=$B$6+$B$7,$H$8*$B$10^$I$8,$H$8*$B$11^$I$8)))</f>
        <v/>
      </c>
      <c r="T59" s="29">
        <f>IF(A59&gt;$B$5+$B$6+$B$7,0,IF(A59=1,0,$B$14))</f>
        <v/>
      </c>
      <c r="U59" s="29">
        <f>IF(A59&gt;$B$5+$B$6+$B$7,0,IF(A59&gt;$B$6+$B$7,-$B$14-$B$13/S59,IF(A59&gt;$B$6,-$B$14-$B$13*$B$15/S59,-$B$14-($B$13*$B$15+$B$12)/S59)))</f>
        <v/>
      </c>
      <c r="V59" s="29">
        <f>IF(A59&gt;$B$5+$B$6+$B$7,0,IF(A59+1&gt;$B$5+$B$6+$B$7,0,IF(A59&gt;$B$6+$B$7,$B$13/S60,IF(A59&gt;=$B$6,$B$13*$B$15/S60,($B$13*$B$15+$B$12)/S60))))</f>
        <v/>
      </c>
      <c r="W59" s="29">
        <f>IF(A59&gt;$B$5+$B$6+$B$7,0,IF(A59=$B$6,-$M$8*$B$12,0))</f>
        <v/>
      </c>
      <c r="X59" s="29">
        <f>IF(A59&gt;$B$5+$B$6+$B$7,0,V59/(U59-T59*X58))</f>
        <v/>
      </c>
      <c r="Y59" s="29">
        <f>IF(A59&gt;$B$5+$B$6+$B$7,0,(W59-T59*Y58)/(U59-T59*X58))</f>
        <v/>
      </c>
      <c r="Z59" s="30">
        <f>IF(A59&gt;$B$5+$B$6+$B$7,0,Y59-X59*Z60)</f>
        <v/>
      </c>
      <c r="AA59" s="29">
        <f>IF(A59&gt;$B$5+$B$6+$B$7,0,IF(A59&lt;=$B$6,$H$9*$B$9^$I$9,IF(A59&lt;=$B$6+$B$7,$H$9*$B$10^$I$9,$H$9*$B$11^$I$9)))</f>
        <v/>
      </c>
      <c r="AB59" s="29">
        <f>IF(A59&gt;$B$5+$B$6+$B$7,0,IF(A59=1,0,$B$14))</f>
        <v/>
      </c>
      <c r="AC59" s="29">
        <f>IF(A59&gt;$B$5+$B$6+$B$7,0,IF(A59&gt;$B$6+$B$7,-$B$14-$B$13/AA59,IF(A59&gt;$B$6,-$B$14-$B$13*$B$15/AA59,-$B$14-($B$13*$B$15+$B$12)/AA59)))</f>
        <v/>
      </c>
      <c r="AD59" s="29">
        <f>IF(A59&gt;$B$5+$B$6+$B$7,0,IF(A59+1&gt;$B$5+$B$6+$B$7,0,IF(A59&gt;$B$6+$B$7,$B$13/AA60,IF(A59&gt;=$B$6,$B$13*$B$15/AA60,($B$13*$B$15+$B$12)/AA60))))</f>
        <v/>
      </c>
      <c r="AE59" s="29">
        <f>IF(A59&gt;$B$5+$B$6+$B$7,0,IF(A59=$B$6,-$M$9*$B$12,0))</f>
        <v/>
      </c>
      <c r="AF59" s="29">
        <f>IF(A59&gt;$B$5+$B$6+$B$7,0,AD59/(AC59-AB59*AF58))</f>
        <v/>
      </c>
      <c r="AG59" s="29">
        <f>IF(A59&gt;$B$5+$B$6+$B$7,0,(AE59-AB59*AG58)/(AC59-AB59*AF58))</f>
        <v/>
      </c>
      <c r="AH59" s="30">
        <f>IF(A59&gt;$B$5+$B$6+$B$7,0,AG59-AF59*AH60)</f>
        <v/>
      </c>
      <c r="AI59" s="31">
        <f>IF(A59&gt;$B$5+$B$6+$B$7,0,IF(C59&lt;&gt;0,J59/C59,0))</f>
        <v/>
      </c>
      <c r="AJ59" s="31">
        <f>IF(A59&gt;$B$5+$B$6+$B$7,0,IF(K59&lt;&gt;0,R59/K59,0))</f>
        <v/>
      </c>
      <c r="AK59" s="31">
        <f>IF(A59&gt;$B$5+$B$6+$B$7,0,IF(S59&lt;&gt;0,Z59/S59,0))</f>
        <v/>
      </c>
      <c r="AL59" s="31">
        <f>IF(A59&gt;$B$5+$B$6+$B$7,0,IF(AA59&lt;&gt;0,AH59/AA59,0))</f>
        <v/>
      </c>
      <c r="AM59" s="30">
        <f>J59+R59+Z59+AH59</f>
        <v/>
      </c>
      <c r="AN59" s="30">
        <f>AI59+AJ59+AK59+AL59</f>
        <v/>
      </c>
    </row>
    <row r="60">
      <c r="A60" s="27" t="n">
        <v>41</v>
      </c>
      <c r="B60" s="28">
        <f>IF(A60&gt;$B$5+$B$6+$B$7,"—",IF(A60&lt;=$B$6,"Extraction",IF(A60&lt;=$B$6+$B$7,"Scrub","Strip")))</f>
        <v/>
      </c>
      <c r="C60" s="29">
        <f>IF(A60&gt;$B$5+$B$6+$B$7,0,IF(A60&lt;=$B$6,$H$6*$B$9^$I$6,IF(A60&lt;=$B$6+$B$7,$H$6*$B$10^$I$6,$H$6*$B$11^$I$6)))</f>
        <v/>
      </c>
      <c r="D60" s="29">
        <f>IF(A60&gt;$B$5+$B$6+$B$7,0,IF(A60=1,0,$B$14))</f>
        <v/>
      </c>
      <c r="E60" s="29">
        <f>IF(A60&gt;$B$5+$B$6+$B$7,0,IF(A60&gt;$B$6+$B$7,-$B$14-$B$13/C60,IF(A60&gt;$B$6,-$B$14-$B$13*$B$15/C60,-$B$14-($B$13*$B$15+$B$12)/C60)))</f>
        <v/>
      </c>
      <c r="F60" s="29">
        <f>IF(A60&gt;$B$5+$B$6+$B$7,0,IF(A60+1&gt;$B$5+$B$6+$B$7,0,IF(A60&gt;$B$6+$B$7,$B$13/C61,IF(A60&gt;=$B$6,$B$13*$B$15/C61,($B$13*$B$15+$B$12)/C61))))</f>
        <v/>
      </c>
      <c r="G60" s="29">
        <f>IF(A60&gt;$B$5+$B$6+$B$7,0,IF(A60=$B$6,-$M$6*$B$12,0))</f>
        <v/>
      </c>
      <c r="H60" s="29">
        <f>IF(A60&gt;$B$5+$B$6+$B$7,0,F60/(E60-D60*H59))</f>
        <v/>
      </c>
      <c r="I60" s="29">
        <f>IF(A60&gt;$B$5+$B$6+$B$7,0,(G60-D60*I59)/(E60-D60*H59))</f>
        <v/>
      </c>
      <c r="J60" s="30">
        <f>IF(A60&gt;$B$5+$B$6+$B$7,0,I60-H60*J61)</f>
        <v/>
      </c>
      <c r="K60" s="29">
        <f>IF(A60&gt;$B$5+$B$6+$B$7,0,IF(A60&lt;=$B$6,$H$7*$B$9^$I$7,IF(A60&lt;=$B$6+$B$7,$H$7*$B$10^$I$7,$H$7*$B$11^$I$7)))</f>
        <v/>
      </c>
      <c r="L60" s="29">
        <f>IF(A60&gt;$B$5+$B$6+$B$7,0,IF(A60=1,0,$B$14))</f>
        <v/>
      </c>
      <c r="M60" s="29">
        <f>IF(A60&gt;$B$5+$B$6+$B$7,0,IF(A60&gt;$B$6+$B$7,-$B$14-$B$13/K60,IF(A60&gt;$B$6,-$B$14-$B$13*$B$15/K60,-$B$14-($B$13*$B$15+$B$12)/K60)))</f>
        <v/>
      </c>
      <c r="N60" s="29">
        <f>IF(A60&gt;$B$5+$B$6+$B$7,0,IF(A60+1&gt;$B$5+$B$6+$B$7,0,IF(A60&gt;$B$6+$B$7,$B$13/K61,IF(A60&gt;=$B$6,$B$13*$B$15/K61,($B$13*$B$15+$B$12)/K61))))</f>
        <v/>
      </c>
      <c r="O60" s="29">
        <f>IF(A60&gt;$B$5+$B$6+$B$7,0,IF(A60=$B$6,-$M$7*$B$12,0))</f>
        <v/>
      </c>
      <c r="P60" s="29">
        <f>IF(A60&gt;$B$5+$B$6+$B$7,0,N60/(M60-L60*P59))</f>
        <v/>
      </c>
      <c r="Q60" s="29">
        <f>IF(A60&gt;$B$5+$B$6+$B$7,0,(O60-L60*Q59)/(M60-L60*P59))</f>
        <v/>
      </c>
      <c r="R60" s="30">
        <f>IF(A60&gt;$B$5+$B$6+$B$7,0,Q60-P60*R61)</f>
        <v/>
      </c>
      <c r="S60" s="29">
        <f>IF(A60&gt;$B$5+$B$6+$B$7,0,IF(A60&lt;=$B$6,$H$8*$B$9^$I$8,IF(A60&lt;=$B$6+$B$7,$H$8*$B$10^$I$8,$H$8*$B$11^$I$8)))</f>
        <v/>
      </c>
      <c r="T60" s="29">
        <f>IF(A60&gt;$B$5+$B$6+$B$7,0,IF(A60=1,0,$B$14))</f>
        <v/>
      </c>
      <c r="U60" s="29">
        <f>IF(A60&gt;$B$5+$B$6+$B$7,0,IF(A60&gt;$B$6+$B$7,-$B$14-$B$13/S60,IF(A60&gt;$B$6,-$B$14-$B$13*$B$15/S60,-$B$14-($B$13*$B$15+$B$12)/S60)))</f>
        <v/>
      </c>
      <c r="V60" s="29">
        <f>IF(A60&gt;$B$5+$B$6+$B$7,0,IF(A60+1&gt;$B$5+$B$6+$B$7,0,IF(A60&gt;$B$6+$B$7,$B$13/S61,IF(A60&gt;=$B$6,$B$13*$B$15/S61,($B$13*$B$15+$B$12)/S61))))</f>
        <v/>
      </c>
      <c r="W60" s="29">
        <f>IF(A60&gt;$B$5+$B$6+$B$7,0,IF(A60=$B$6,-$M$8*$B$12,0))</f>
        <v/>
      </c>
      <c r="X60" s="29">
        <f>IF(A60&gt;$B$5+$B$6+$B$7,0,V60/(U60-T60*X59))</f>
        <v/>
      </c>
      <c r="Y60" s="29">
        <f>IF(A60&gt;$B$5+$B$6+$B$7,0,(W60-T60*Y59)/(U60-T60*X59))</f>
        <v/>
      </c>
      <c r="Z60" s="30">
        <f>IF(A60&gt;$B$5+$B$6+$B$7,0,Y60-X60*Z61)</f>
        <v/>
      </c>
      <c r="AA60" s="29">
        <f>IF(A60&gt;$B$5+$B$6+$B$7,0,IF(A60&lt;=$B$6,$H$9*$B$9^$I$9,IF(A60&lt;=$B$6+$B$7,$H$9*$B$10^$I$9,$H$9*$B$11^$I$9)))</f>
        <v/>
      </c>
      <c r="AB60" s="29">
        <f>IF(A60&gt;$B$5+$B$6+$B$7,0,IF(A60=1,0,$B$14))</f>
        <v/>
      </c>
      <c r="AC60" s="29">
        <f>IF(A60&gt;$B$5+$B$6+$B$7,0,IF(A60&gt;$B$6+$B$7,-$B$14-$B$13/AA60,IF(A60&gt;$B$6,-$B$14-$B$13*$B$15/AA60,-$B$14-($B$13*$B$15+$B$12)/AA60)))</f>
        <v/>
      </c>
      <c r="AD60" s="29">
        <f>IF(A60&gt;$B$5+$B$6+$B$7,0,IF(A60+1&gt;$B$5+$B$6+$B$7,0,IF(A60&gt;$B$6+$B$7,$B$13/AA61,IF(A60&gt;=$B$6,$B$13*$B$15/AA61,($B$13*$B$15+$B$12)/AA61))))</f>
        <v/>
      </c>
      <c r="AE60" s="29">
        <f>IF(A60&gt;$B$5+$B$6+$B$7,0,IF(A60=$B$6,-$M$9*$B$12,0))</f>
        <v/>
      </c>
      <c r="AF60" s="29">
        <f>IF(A60&gt;$B$5+$B$6+$B$7,0,AD60/(AC60-AB60*AF59))</f>
        <v/>
      </c>
      <c r="AG60" s="29">
        <f>IF(A60&gt;$B$5+$B$6+$B$7,0,(AE60-AB60*AG59)/(AC60-AB60*AF59))</f>
        <v/>
      </c>
      <c r="AH60" s="30">
        <f>IF(A60&gt;$B$5+$B$6+$B$7,0,AG60-AF60*AH61)</f>
        <v/>
      </c>
      <c r="AI60" s="31">
        <f>IF(A60&gt;$B$5+$B$6+$B$7,0,IF(C60&lt;&gt;0,J60/C60,0))</f>
        <v/>
      </c>
      <c r="AJ60" s="31">
        <f>IF(A60&gt;$B$5+$B$6+$B$7,0,IF(K60&lt;&gt;0,R60/K60,0))</f>
        <v/>
      </c>
      <c r="AK60" s="31">
        <f>IF(A60&gt;$B$5+$B$6+$B$7,0,IF(S60&lt;&gt;0,Z60/S60,0))</f>
        <v/>
      </c>
      <c r="AL60" s="31">
        <f>IF(A60&gt;$B$5+$B$6+$B$7,0,IF(AA60&lt;&gt;0,AH60/AA60,0))</f>
        <v/>
      </c>
      <c r="AM60" s="30">
        <f>J60+R60+Z60+AH60</f>
        <v/>
      </c>
      <c r="AN60" s="30">
        <f>AI60+AJ60+AK60+AL60</f>
        <v/>
      </c>
    </row>
    <row r="61">
      <c r="A61" s="27" t="n">
        <v>42</v>
      </c>
      <c r="B61" s="28">
        <f>IF(A61&gt;$B$5+$B$6+$B$7,"—",IF(A61&lt;=$B$6,"Extraction",IF(A61&lt;=$B$6+$B$7,"Scrub","Strip")))</f>
        <v/>
      </c>
      <c r="C61" s="29">
        <f>IF(A61&gt;$B$5+$B$6+$B$7,0,IF(A61&lt;=$B$6,$H$6*$B$9^$I$6,IF(A61&lt;=$B$6+$B$7,$H$6*$B$10^$I$6,$H$6*$B$11^$I$6)))</f>
        <v/>
      </c>
      <c r="D61" s="29">
        <f>IF(A61&gt;$B$5+$B$6+$B$7,0,IF(A61=1,0,$B$14))</f>
        <v/>
      </c>
      <c r="E61" s="29">
        <f>IF(A61&gt;$B$5+$B$6+$B$7,0,IF(A61&gt;$B$6+$B$7,-$B$14-$B$13/C61,IF(A61&gt;$B$6,-$B$14-$B$13*$B$15/C61,-$B$14-($B$13*$B$15+$B$12)/C61)))</f>
        <v/>
      </c>
      <c r="F61" s="29">
        <f>IF(A61&gt;$B$5+$B$6+$B$7,0,IF(A61+1&gt;$B$5+$B$6+$B$7,0,IF(A61&gt;$B$6+$B$7,$B$13/C62,IF(A61&gt;=$B$6,$B$13*$B$15/C62,($B$13*$B$15+$B$12)/C62))))</f>
        <v/>
      </c>
      <c r="G61" s="29">
        <f>IF(A61&gt;$B$5+$B$6+$B$7,0,IF(A61=$B$6,-$M$6*$B$12,0))</f>
        <v/>
      </c>
      <c r="H61" s="29">
        <f>IF(A61&gt;$B$5+$B$6+$B$7,0,F61/(E61-D61*H60))</f>
        <v/>
      </c>
      <c r="I61" s="29">
        <f>IF(A61&gt;$B$5+$B$6+$B$7,0,(G61-D61*I60)/(E61-D61*H60))</f>
        <v/>
      </c>
      <c r="J61" s="30">
        <f>IF(A61&gt;$B$5+$B$6+$B$7,0,I61-H61*J62)</f>
        <v/>
      </c>
      <c r="K61" s="29">
        <f>IF(A61&gt;$B$5+$B$6+$B$7,0,IF(A61&lt;=$B$6,$H$7*$B$9^$I$7,IF(A61&lt;=$B$6+$B$7,$H$7*$B$10^$I$7,$H$7*$B$11^$I$7)))</f>
        <v/>
      </c>
      <c r="L61" s="29">
        <f>IF(A61&gt;$B$5+$B$6+$B$7,0,IF(A61=1,0,$B$14))</f>
        <v/>
      </c>
      <c r="M61" s="29">
        <f>IF(A61&gt;$B$5+$B$6+$B$7,0,IF(A61&gt;$B$6+$B$7,-$B$14-$B$13/K61,IF(A61&gt;$B$6,-$B$14-$B$13*$B$15/K61,-$B$14-($B$13*$B$15+$B$12)/K61)))</f>
        <v/>
      </c>
      <c r="N61" s="29">
        <f>IF(A61&gt;$B$5+$B$6+$B$7,0,IF(A61+1&gt;$B$5+$B$6+$B$7,0,IF(A61&gt;$B$6+$B$7,$B$13/K62,IF(A61&gt;=$B$6,$B$13*$B$15/K62,($B$13*$B$15+$B$12)/K62))))</f>
        <v/>
      </c>
      <c r="O61" s="29">
        <f>IF(A61&gt;$B$5+$B$6+$B$7,0,IF(A61=$B$6,-$M$7*$B$12,0))</f>
        <v/>
      </c>
      <c r="P61" s="29">
        <f>IF(A61&gt;$B$5+$B$6+$B$7,0,N61/(M61-L61*P60))</f>
        <v/>
      </c>
      <c r="Q61" s="29">
        <f>IF(A61&gt;$B$5+$B$6+$B$7,0,(O61-L61*Q60)/(M61-L61*P60))</f>
        <v/>
      </c>
      <c r="R61" s="30">
        <f>IF(A61&gt;$B$5+$B$6+$B$7,0,Q61-P61*R62)</f>
        <v/>
      </c>
      <c r="S61" s="29">
        <f>IF(A61&gt;$B$5+$B$6+$B$7,0,IF(A61&lt;=$B$6,$H$8*$B$9^$I$8,IF(A61&lt;=$B$6+$B$7,$H$8*$B$10^$I$8,$H$8*$B$11^$I$8)))</f>
        <v/>
      </c>
      <c r="T61" s="29">
        <f>IF(A61&gt;$B$5+$B$6+$B$7,0,IF(A61=1,0,$B$14))</f>
        <v/>
      </c>
      <c r="U61" s="29">
        <f>IF(A61&gt;$B$5+$B$6+$B$7,0,IF(A61&gt;$B$6+$B$7,-$B$14-$B$13/S61,IF(A61&gt;$B$6,-$B$14-$B$13*$B$15/S61,-$B$14-($B$13*$B$15+$B$12)/S61)))</f>
        <v/>
      </c>
      <c r="V61" s="29">
        <f>IF(A61&gt;$B$5+$B$6+$B$7,0,IF(A61+1&gt;$B$5+$B$6+$B$7,0,IF(A61&gt;$B$6+$B$7,$B$13/S62,IF(A61&gt;=$B$6,$B$13*$B$15/S62,($B$13*$B$15+$B$12)/S62))))</f>
        <v/>
      </c>
      <c r="W61" s="29">
        <f>IF(A61&gt;$B$5+$B$6+$B$7,0,IF(A61=$B$6,-$M$8*$B$12,0))</f>
        <v/>
      </c>
      <c r="X61" s="29">
        <f>IF(A61&gt;$B$5+$B$6+$B$7,0,V61/(U61-T61*X60))</f>
        <v/>
      </c>
      <c r="Y61" s="29">
        <f>IF(A61&gt;$B$5+$B$6+$B$7,0,(W61-T61*Y60)/(U61-T61*X60))</f>
        <v/>
      </c>
      <c r="Z61" s="30">
        <f>IF(A61&gt;$B$5+$B$6+$B$7,0,Y61-X61*Z62)</f>
        <v/>
      </c>
      <c r="AA61" s="29">
        <f>IF(A61&gt;$B$5+$B$6+$B$7,0,IF(A61&lt;=$B$6,$H$9*$B$9^$I$9,IF(A61&lt;=$B$6+$B$7,$H$9*$B$10^$I$9,$H$9*$B$11^$I$9)))</f>
        <v/>
      </c>
      <c r="AB61" s="29">
        <f>IF(A61&gt;$B$5+$B$6+$B$7,0,IF(A61=1,0,$B$14))</f>
        <v/>
      </c>
      <c r="AC61" s="29">
        <f>IF(A61&gt;$B$5+$B$6+$B$7,0,IF(A61&gt;$B$6+$B$7,-$B$14-$B$13/AA61,IF(A61&gt;$B$6,-$B$14-$B$13*$B$15/AA61,-$B$14-($B$13*$B$15+$B$12)/AA61)))</f>
        <v/>
      </c>
      <c r="AD61" s="29">
        <f>IF(A61&gt;$B$5+$B$6+$B$7,0,IF(A61+1&gt;$B$5+$B$6+$B$7,0,IF(A61&gt;$B$6+$B$7,$B$13/AA62,IF(A61&gt;=$B$6,$B$13*$B$15/AA62,($B$13*$B$15+$B$12)/AA62))))</f>
        <v/>
      </c>
      <c r="AE61" s="29">
        <f>IF(A61&gt;$B$5+$B$6+$B$7,0,IF(A61=$B$6,-$M$9*$B$12,0))</f>
        <v/>
      </c>
      <c r="AF61" s="29">
        <f>IF(A61&gt;$B$5+$B$6+$B$7,0,AD61/(AC61-AB61*AF60))</f>
        <v/>
      </c>
      <c r="AG61" s="29">
        <f>IF(A61&gt;$B$5+$B$6+$B$7,0,(AE61-AB61*AG60)/(AC61-AB61*AF60))</f>
        <v/>
      </c>
      <c r="AH61" s="30">
        <f>IF(A61&gt;$B$5+$B$6+$B$7,0,AG61-AF61*AH62)</f>
        <v/>
      </c>
      <c r="AI61" s="31">
        <f>IF(A61&gt;$B$5+$B$6+$B$7,0,IF(C61&lt;&gt;0,J61/C61,0))</f>
        <v/>
      </c>
      <c r="AJ61" s="31">
        <f>IF(A61&gt;$B$5+$B$6+$B$7,0,IF(K61&lt;&gt;0,R61/K61,0))</f>
        <v/>
      </c>
      <c r="AK61" s="31">
        <f>IF(A61&gt;$B$5+$B$6+$B$7,0,IF(S61&lt;&gt;0,Z61/S61,0))</f>
        <v/>
      </c>
      <c r="AL61" s="31">
        <f>IF(A61&gt;$B$5+$B$6+$B$7,0,IF(AA61&lt;&gt;0,AH61/AA61,0))</f>
        <v/>
      </c>
      <c r="AM61" s="30">
        <f>J61+R61+Z61+AH61</f>
        <v/>
      </c>
      <c r="AN61" s="30">
        <f>AI61+AJ61+AK61+AL61</f>
        <v/>
      </c>
    </row>
    <row r="62">
      <c r="A62" s="27" t="n">
        <v>43</v>
      </c>
      <c r="B62" s="28">
        <f>IF(A62&gt;$B$5+$B$6+$B$7,"—",IF(A62&lt;=$B$6,"Extraction",IF(A62&lt;=$B$6+$B$7,"Scrub","Strip")))</f>
        <v/>
      </c>
      <c r="C62" s="29">
        <f>IF(A62&gt;$B$5+$B$6+$B$7,0,IF(A62&lt;=$B$6,$H$6*$B$9^$I$6,IF(A62&lt;=$B$6+$B$7,$H$6*$B$10^$I$6,$H$6*$B$11^$I$6)))</f>
        <v/>
      </c>
      <c r="D62" s="29">
        <f>IF(A62&gt;$B$5+$B$6+$B$7,0,IF(A62=1,0,$B$14))</f>
        <v/>
      </c>
      <c r="E62" s="29">
        <f>IF(A62&gt;$B$5+$B$6+$B$7,0,IF(A62&gt;$B$6+$B$7,-$B$14-$B$13/C62,IF(A62&gt;$B$6,-$B$14-$B$13*$B$15/C62,-$B$14-($B$13*$B$15+$B$12)/C62)))</f>
        <v/>
      </c>
      <c r="F62" s="29">
        <f>IF(A62&gt;$B$5+$B$6+$B$7,0,IF(A62+1&gt;$B$5+$B$6+$B$7,0,IF(A62&gt;$B$6+$B$7,$B$13/C63,IF(A62&gt;=$B$6,$B$13*$B$15/C63,($B$13*$B$15+$B$12)/C63))))</f>
        <v/>
      </c>
      <c r="G62" s="29">
        <f>IF(A62&gt;$B$5+$B$6+$B$7,0,IF(A62=$B$6,-$M$6*$B$12,0))</f>
        <v/>
      </c>
      <c r="H62" s="29">
        <f>IF(A62&gt;$B$5+$B$6+$B$7,0,F62/(E62-D62*H61))</f>
        <v/>
      </c>
      <c r="I62" s="29">
        <f>IF(A62&gt;$B$5+$B$6+$B$7,0,(G62-D62*I61)/(E62-D62*H61))</f>
        <v/>
      </c>
      <c r="J62" s="30">
        <f>IF(A62&gt;$B$5+$B$6+$B$7,0,I62-H62*J63)</f>
        <v/>
      </c>
      <c r="K62" s="29">
        <f>IF(A62&gt;$B$5+$B$6+$B$7,0,IF(A62&lt;=$B$6,$H$7*$B$9^$I$7,IF(A62&lt;=$B$6+$B$7,$H$7*$B$10^$I$7,$H$7*$B$11^$I$7)))</f>
        <v/>
      </c>
      <c r="L62" s="29">
        <f>IF(A62&gt;$B$5+$B$6+$B$7,0,IF(A62=1,0,$B$14))</f>
        <v/>
      </c>
      <c r="M62" s="29">
        <f>IF(A62&gt;$B$5+$B$6+$B$7,0,IF(A62&gt;$B$6+$B$7,-$B$14-$B$13/K62,IF(A62&gt;$B$6,-$B$14-$B$13*$B$15/K62,-$B$14-($B$13*$B$15+$B$12)/K62)))</f>
        <v/>
      </c>
      <c r="N62" s="29">
        <f>IF(A62&gt;$B$5+$B$6+$B$7,0,IF(A62+1&gt;$B$5+$B$6+$B$7,0,IF(A62&gt;$B$6+$B$7,$B$13/K63,IF(A62&gt;=$B$6,$B$13*$B$15/K63,($B$13*$B$15+$B$12)/K63))))</f>
        <v/>
      </c>
      <c r="O62" s="29">
        <f>IF(A62&gt;$B$5+$B$6+$B$7,0,IF(A62=$B$6,-$M$7*$B$12,0))</f>
        <v/>
      </c>
      <c r="P62" s="29">
        <f>IF(A62&gt;$B$5+$B$6+$B$7,0,N62/(M62-L62*P61))</f>
        <v/>
      </c>
      <c r="Q62" s="29">
        <f>IF(A62&gt;$B$5+$B$6+$B$7,0,(O62-L62*Q61)/(M62-L62*P61))</f>
        <v/>
      </c>
      <c r="R62" s="30">
        <f>IF(A62&gt;$B$5+$B$6+$B$7,0,Q62-P62*R63)</f>
        <v/>
      </c>
      <c r="S62" s="29">
        <f>IF(A62&gt;$B$5+$B$6+$B$7,0,IF(A62&lt;=$B$6,$H$8*$B$9^$I$8,IF(A62&lt;=$B$6+$B$7,$H$8*$B$10^$I$8,$H$8*$B$11^$I$8)))</f>
        <v/>
      </c>
      <c r="T62" s="29">
        <f>IF(A62&gt;$B$5+$B$6+$B$7,0,IF(A62=1,0,$B$14))</f>
        <v/>
      </c>
      <c r="U62" s="29">
        <f>IF(A62&gt;$B$5+$B$6+$B$7,0,IF(A62&gt;$B$6+$B$7,-$B$14-$B$13/S62,IF(A62&gt;$B$6,-$B$14-$B$13*$B$15/S62,-$B$14-($B$13*$B$15+$B$12)/S62)))</f>
        <v/>
      </c>
      <c r="V62" s="29">
        <f>IF(A62&gt;$B$5+$B$6+$B$7,0,IF(A62+1&gt;$B$5+$B$6+$B$7,0,IF(A62&gt;$B$6+$B$7,$B$13/S63,IF(A62&gt;=$B$6,$B$13*$B$15/S63,($B$13*$B$15+$B$12)/S63))))</f>
        <v/>
      </c>
      <c r="W62" s="29">
        <f>IF(A62&gt;$B$5+$B$6+$B$7,0,IF(A62=$B$6,-$M$8*$B$12,0))</f>
        <v/>
      </c>
      <c r="X62" s="29">
        <f>IF(A62&gt;$B$5+$B$6+$B$7,0,V62/(U62-T62*X61))</f>
        <v/>
      </c>
      <c r="Y62" s="29">
        <f>IF(A62&gt;$B$5+$B$6+$B$7,0,(W62-T62*Y61)/(U62-T62*X61))</f>
        <v/>
      </c>
      <c r="Z62" s="30">
        <f>IF(A62&gt;$B$5+$B$6+$B$7,0,Y62-X62*Z63)</f>
        <v/>
      </c>
      <c r="AA62" s="29">
        <f>IF(A62&gt;$B$5+$B$6+$B$7,0,IF(A62&lt;=$B$6,$H$9*$B$9^$I$9,IF(A62&lt;=$B$6+$B$7,$H$9*$B$10^$I$9,$H$9*$B$11^$I$9)))</f>
        <v/>
      </c>
      <c r="AB62" s="29">
        <f>IF(A62&gt;$B$5+$B$6+$B$7,0,IF(A62=1,0,$B$14))</f>
        <v/>
      </c>
      <c r="AC62" s="29">
        <f>IF(A62&gt;$B$5+$B$6+$B$7,0,IF(A62&gt;$B$6+$B$7,-$B$14-$B$13/AA62,IF(A62&gt;$B$6,-$B$14-$B$13*$B$15/AA62,-$B$14-($B$13*$B$15+$B$12)/AA62)))</f>
        <v/>
      </c>
      <c r="AD62" s="29">
        <f>IF(A62&gt;$B$5+$B$6+$B$7,0,IF(A62+1&gt;$B$5+$B$6+$B$7,0,IF(A62&gt;$B$6+$B$7,$B$13/AA63,IF(A62&gt;=$B$6,$B$13*$B$15/AA63,($B$13*$B$15+$B$12)/AA63))))</f>
        <v/>
      </c>
      <c r="AE62" s="29">
        <f>IF(A62&gt;$B$5+$B$6+$B$7,0,IF(A62=$B$6,-$M$9*$B$12,0))</f>
        <v/>
      </c>
      <c r="AF62" s="29">
        <f>IF(A62&gt;$B$5+$B$6+$B$7,0,AD62/(AC62-AB62*AF61))</f>
        <v/>
      </c>
      <c r="AG62" s="29">
        <f>IF(A62&gt;$B$5+$B$6+$B$7,0,(AE62-AB62*AG61)/(AC62-AB62*AF61))</f>
        <v/>
      </c>
      <c r="AH62" s="30">
        <f>IF(A62&gt;$B$5+$B$6+$B$7,0,AG62-AF62*AH63)</f>
        <v/>
      </c>
      <c r="AI62" s="31">
        <f>IF(A62&gt;$B$5+$B$6+$B$7,0,IF(C62&lt;&gt;0,J62/C62,0))</f>
        <v/>
      </c>
      <c r="AJ62" s="31">
        <f>IF(A62&gt;$B$5+$B$6+$B$7,0,IF(K62&lt;&gt;0,R62/K62,0))</f>
        <v/>
      </c>
      <c r="AK62" s="31">
        <f>IF(A62&gt;$B$5+$B$6+$B$7,0,IF(S62&lt;&gt;0,Z62/S62,0))</f>
        <v/>
      </c>
      <c r="AL62" s="31">
        <f>IF(A62&gt;$B$5+$B$6+$B$7,0,IF(AA62&lt;&gt;0,AH62/AA62,0))</f>
        <v/>
      </c>
      <c r="AM62" s="30">
        <f>J62+R62+Z62+AH62</f>
        <v/>
      </c>
      <c r="AN62" s="30">
        <f>AI62+AJ62+AK62+AL62</f>
        <v/>
      </c>
    </row>
    <row r="63">
      <c r="A63" s="27" t="n">
        <v>44</v>
      </c>
      <c r="B63" s="28">
        <f>IF(A63&gt;$B$5+$B$6+$B$7,"—",IF(A63&lt;=$B$6,"Extraction",IF(A63&lt;=$B$6+$B$7,"Scrub","Strip")))</f>
        <v/>
      </c>
      <c r="C63" s="29">
        <f>IF(A63&gt;$B$5+$B$6+$B$7,0,IF(A63&lt;=$B$6,$H$6*$B$9^$I$6,IF(A63&lt;=$B$6+$B$7,$H$6*$B$10^$I$6,$H$6*$B$11^$I$6)))</f>
        <v/>
      </c>
      <c r="D63" s="29">
        <f>IF(A63&gt;$B$5+$B$6+$B$7,0,IF(A63=1,0,$B$14))</f>
        <v/>
      </c>
      <c r="E63" s="29">
        <f>IF(A63&gt;$B$5+$B$6+$B$7,0,IF(A63&gt;$B$6+$B$7,-$B$14-$B$13/C63,IF(A63&gt;$B$6,-$B$14-$B$13*$B$15/C63,-$B$14-($B$13*$B$15+$B$12)/C63)))</f>
        <v/>
      </c>
      <c r="F63" s="29">
        <f>IF(A63&gt;$B$5+$B$6+$B$7,0,IF(A63+1&gt;$B$5+$B$6+$B$7,0,IF(A63&gt;$B$6+$B$7,$B$13/C64,IF(A63&gt;=$B$6,$B$13*$B$15/C64,($B$13*$B$15+$B$12)/C64))))</f>
        <v/>
      </c>
      <c r="G63" s="29">
        <f>IF(A63&gt;$B$5+$B$6+$B$7,0,IF(A63=$B$6,-$M$6*$B$12,0))</f>
        <v/>
      </c>
      <c r="H63" s="29">
        <f>IF(A63&gt;$B$5+$B$6+$B$7,0,F63/(E63-D63*H62))</f>
        <v/>
      </c>
      <c r="I63" s="29">
        <f>IF(A63&gt;$B$5+$B$6+$B$7,0,(G63-D63*I62)/(E63-D63*H62))</f>
        <v/>
      </c>
      <c r="J63" s="30">
        <f>IF(A63&gt;$B$5+$B$6+$B$7,0,I63-H63*J64)</f>
        <v/>
      </c>
      <c r="K63" s="29">
        <f>IF(A63&gt;$B$5+$B$6+$B$7,0,IF(A63&lt;=$B$6,$H$7*$B$9^$I$7,IF(A63&lt;=$B$6+$B$7,$H$7*$B$10^$I$7,$H$7*$B$11^$I$7)))</f>
        <v/>
      </c>
      <c r="L63" s="29">
        <f>IF(A63&gt;$B$5+$B$6+$B$7,0,IF(A63=1,0,$B$14))</f>
        <v/>
      </c>
      <c r="M63" s="29">
        <f>IF(A63&gt;$B$5+$B$6+$B$7,0,IF(A63&gt;$B$6+$B$7,-$B$14-$B$13/K63,IF(A63&gt;$B$6,-$B$14-$B$13*$B$15/K63,-$B$14-($B$13*$B$15+$B$12)/K63)))</f>
        <v/>
      </c>
      <c r="N63" s="29">
        <f>IF(A63&gt;$B$5+$B$6+$B$7,0,IF(A63+1&gt;$B$5+$B$6+$B$7,0,IF(A63&gt;$B$6+$B$7,$B$13/K64,IF(A63&gt;=$B$6,$B$13*$B$15/K64,($B$13*$B$15+$B$12)/K64))))</f>
        <v/>
      </c>
      <c r="O63" s="29">
        <f>IF(A63&gt;$B$5+$B$6+$B$7,0,IF(A63=$B$6,-$M$7*$B$12,0))</f>
        <v/>
      </c>
      <c r="P63" s="29">
        <f>IF(A63&gt;$B$5+$B$6+$B$7,0,N63/(M63-L63*P62))</f>
        <v/>
      </c>
      <c r="Q63" s="29">
        <f>IF(A63&gt;$B$5+$B$6+$B$7,0,(O63-L63*Q62)/(M63-L63*P62))</f>
        <v/>
      </c>
      <c r="R63" s="30">
        <f>IF(A63&gt;$B$5+$B$6+$B$7,0,Q63-P63*R64)</f>
        <v/>
      </c>
      <c r="S63" s="29">
        <f>IF(A63&gt;$B$5+$B$6+$B$7,0,IF(A63&lt;=$B$6,$H$8*$B$9^$I$8,IF(A63&lt;=$B$6+$B$7,$H$8*$B$10^$I$8,$H$8*$B$11^$I$8)))</f>
        <v/>
      </c>
      <c r="T63" s="29">
        <f>IF(A63&gt;$B$5+$B$6+$B$7,0,IF(A63=1,0,$B$14))</f>
        <v/>
      </c>
      <c r="U63" s="29">
        <f>IF(A63&gt;$B$5+$B$6+$B$7,0,IF(A63&gt;$B$6+$B$7,-$B$14-$B$13/S63,IF(A63&gt;$B$6,-$B$14-$B$13*$B$15/S63,-$B$14-($B$13*$B$15+$B$12)/S63)))</f>
        <v/>
      </c>
      <c r="V63" s="29">
        <f>IF(A63&gt;$B$5+$B$6+$B$7,0,IF(A63+1&gt;$B$5+$B$6+$B$7,0,IF(A63&gt;$B$6+$B$7,$B$13/S64,IF(A63&gt;=$B$6,$B$13*$B$15/S64,($B$13*$B$15+$B$12)/S64))))</f>
        <v/>
      </c>
      <c r="W63" s="29">
        <f>IF(A63&gt;$B$5+$B$6+$B$7,0,IF(A63=$B$6,-$M$8*$B$12,0))</f>
        <v/>
      </c>
      <c r="X63" s="29">
        <f>IF(A63&gt;$B$5+$B$6+$B$7,0,V63/(U63-T63*X62))</f>
        <v/>
      </c>
      <c r="Y63" s="29">
        <f>IF(A63&gt;$B$5+$B$6+$B$7,0,(W63-T63*Y62)/(U63-T63*X62))</f>
        <v/>
      </c>
      <c r="Z63" s="30">
        <f>IF(A63&gt;$B$5+$B$6+$B$7,0,Y63-X63*Z64)</f>
        <v/>
      </c>
      <c r="AA63" s="29">
        <f>IF(A63&gt;$B$5+$B$6+$B$7,0,IF(A63&lt;=$B$6,$H$9*$B$9^$I$9,IF(A63&lt;=$B$6+$B$7,$H$9*$B$10^$I$9,$H$9*$B$11^$I$9)))</f>
        <v/>
      </c>
      <c r="AB63" s="29">
        <f>IF(A63&gt;$B$5+$B$6+$B$7,0,IF(A63=1,0,$B$14))</f>
        <v/>
      </c>
      <c r="AC63" s="29">
        <f>IF(A63&gt;$B$5+$B$6+$B$7,0,IF(A63&gt;$B$6+$B$7,-$B$14-$B$13/AA63,IF(A63&gt;$B$6,-$B$14-$B$13*$B$15/AA63,-$B$14-($B$13*$B$15+$B$12)/AA63)))</f>
        <v/>
      </c>
      <c r="AD63" s="29">
        <f>IF(A63&gt;$B$5+$B$6+$B$7,0,IF(A63+1&gt;$B$5+$B$6+$B$7,0,IF(A63&gt;$B$6+$B$7,$B$13/AA64,IF(A63&gt;=$B$6,$B$13*$B$15/AA64,($B$13*$B$15+$B$12)/AA64))))</f>
        <v/>
      </c>
      <c r="AE63" s="29">
        <f>IF(A63&gt;$B$5+$B$6+$B$7,0,IF(A63=$B$6,-$M$9*$B$12,0))</f>
        <v/>
      </c>
      <c r="AF63" s="29">
        <f>IF(A63&gt;$B$5+$B$6+$B$7,0,AD63/(AC63-AB63*AF62))</f>
        <v/>
      </c>
      <c r="AG63" s="29">
        <f>IF(A63&gt;$B$5+$B$6+$B$7,0,(AE63-AB63*AG62)/(AC63-AB63*AF62))</f>
        <v/>
      </c>
      <c r="AH63" s="30">
        <f>IF(A63&gt;$B$5+$B$6+$B$7,0,AG63-AF63*AH64)</f>
        <v/>
      </c>
      <c r="AI63" s="31">
        <f>IF(A63&gt;$B$5+$B$6+$B$7,0,IF(C63&lt;&gt;0,J63/C63,0))</f>
        <v/>
      </c>
      <c r="AJ63" s="31">
        <f>IF(A63&gt;$B$5+$B$6+$B$7,0,IF(K63&lt;&gt;0,R63/K63,0))</f>
        <v/>
      </c>
      <c r="AK63" s="31">
        <f>IF(A63&gt;$B$5+$B$6+$B$7,0,IF(S63&lt;&gt;0,Z63/S63,0))</f>
        <v/>
      </c>
      <c r="AL63" s="31">
        <f>IF(A63&gt;$B$5+$B$6+$B$7,0,IF(AA63&lt;&gt;0,AH63/AA63,0))</f>
        <v/>
      </c>
      <c r="AM63" s="30">
        <f>J63+R63+Z63+AH63</f>
        <v/>
      </c>
      <c r="AN63" s="30">
        <f>AI63+AJ63+AK63+AL63</f>
        <v/>
      </c>
    </row>
    <row r="64">
      <c r="A64" s="27" t="n">
        <v>45</v>
      </c>
      <c r="B64" s="28">
        <f>IF(A64&gt;$B$5+$B$6+$B$7,"—",IF(A64&lt;=$B$6,"Extraction",IF(A64&lt;=$B$6+$B$7,"Scrub","Strip")))</f>
        <v/>
      </c>
      <c r="C64" s="29">
        <f>IF(A64&gt;$B$5+$B$6+$B$7,0,IF(A64&lt;=$B$6,$H$6*$B$9^$I$6,IF(A64&lt;=$B$6+$B$7,$H$6*$B$10^$I$6,$H$6*$B$11^$I$6)))</f>
        <v/>
      </c>
      <c r="D64" s="29">
        <f>IF(A64&gt;$B$5+$B$6+$B$7,0,IF(A64=1,0,$B$14))</f>
        <v/>
      </c>
      <c r="E64" s="29">
        <f>IF(A64&gt;$B$5+$B$6+$B$7,0,IF(A64&gt;$B$6+$B$7,-$B$14-$B$13/C64,IF(A64&gt;$B$6,-$B$14-$B$13*$B$15/C64,-$B$14-($B$13*$B$15+$B$12)/C64)))</f>
        <v/>
      </c>
      <c r="F64" s="29">
        <f>IF(A64&gt;$B$5+$B$6+$B$7,0,IF(A64+1&gt;$B$5+$B$6+$B$7,0,IF(A64&gt;$B$6+$B$7,$B$13/C65,IF(A64&gt;=$B$6,$B$13*$B$15/C65,($B$13*$B$15+$B$12)/C65))))</f>
        <v/>
      </c>
      <c r="G64" s="29">
        <f>IF(A64&gt;$B$5+$B$6+$B$7,0,IF(A64=$B$6,-$M$6*$B$12,0))</f>
        <v/>
      </c>
      <c r="H64" s="29">
        <f>IF(A64&gt;$B$5+$B$6+$B$7,0,F64/(E64-D64*H63))</f>
        <v/>
      </c>
      <c r="I64" s="29">
        <f>IF(A64&gt;$B$5+$B$6+$B$7,0,(G64-D64*I63)/(E64-D64*H63))</f>
        <v/>
      </c>
      <c r="J64" s="30">
        <f>IF(A64&gt;$B$5+$B$6+$B$7,0,I64-H64*J65)</f>
        <v/>
      </c>
      <c r="K64" s="29">
        <f>IF(A64&gt;$B$5+$B$6+$B$7,0,IF(A64&lt;=$B$6,$H$7*$B$9^$I$7,IF(A64&lt;=$B$6+$B$7,$H$7*$B$10^$I$7,$H$7*$B$11^$I$7)))</f>
        <v/>
      </c>
      <c r="L64" s="29">
        <f>IF(A64&gt;$B$5+$B$6+$B$7,0,IF(A64=1,0,$B$14))</f>
        <v/>
      </c>
      <c r="M64" s="29">
        <f>IF(A64&gt;$B$5+$B$6+$B$7,0,IF(A64&gt;$B$6+$B$7,-$B$14-$B$13/K64,IF(A64&gt;$B$6,-$B$14-$B$13*$B$15/K64,-$B$14-($B$13*$B$15+$B$12)/K64)))</f>
        <v/>
      </c>
      <c r="N64" s="29">
        <f>IF(A64&gt;$B$5+$B$6+$B$7,0,IF(A64+1&gt;$B$5+$B$6+$B$7,0,IF(A64&gt;$B$6+$B$7,$B$13/K65,IF(A64&gt;=$B$6,$B$13*$B$15/K65,($B$13*$B$15+$B$12)/K65))))</f>
        <v/>
      </c>
      <c r="O64" s="29">
        <f>IF(A64&gt;$B$5+$B$6+$B$7,0,IF(A64=$B$6,-$M$7*$B$12,0))</f>
        <v/>
      </c>
      <c r="P64" s="29">
        <f>IF(A64&gt;$B$5+$B$6+$B$7,0,N64/(M64-L64*P63))</f>
        <v/>
      </c>
      <c r="Q64" s="29">
        <f>IF(A64&gt;$B$5+$B$6+$B$7,0,(O64-L64*Q63)/(M64-L64*P63))</f>
        <v/>
      </c>
      <c r="R64" s="30">
        <f>IF(A64&gt;$B$5+$B$6+$B$7,0,Q64-P64*R65)</f>
        <v/>
      </c>
      <c r="S64" s="29">
        <f>IF(A64&gt;$B$5+$B$6+$B$7,0,IF(A64&lt;=$B$6,$H$8*$B$9^$I$8,IF(A64&lt;=$B$6+$B$7,$H$8*$B$10^$I$8,$H$8*$B$11^$I$8)))</f>
        <v/>
      </c>
      <c r="T64" s="29">
        <f>IF(A64&gt;$B$5+$B$6+$B$7,0,IF(A64=1,0,$B$14))</f>
        <v/>
      </c>
      <c r="U64" s="29">
        <f>IF(A64&gt;$B$5+$B$6+$B$7,0,IF(A64&gt;$B$6+$B$7,-$B$14-$B$13/S64,IF(A64&gt;$B$6,-$B$14-$B$13*$B$15/S64,-$B$14-($B$13*$B$15+$B$12)/S64)))</f>
        <v/>
      </c>
      <c r="V64" s="29">
        <f>IF(A64&gt;$B$5+$B$6+$B$7,0,IF(A64+1&gt;$B$5+$B$6+$B$7,0,IF(A64&gt;$B$6+$B$7,$B$13/S65,IF(A64&gt;=$B$6,$B$13*$B$15/S65,($B$13*$B$15+$B$12)/S65))))</f>
        <v/>
      </c>
      <c r="W64" s="29">
        <f>IF(A64&gt;$B$5+$B$6+$B$7,0,IF(A64=$B$6,-$M$8*$B$12,0))</f>
        <v/>
      </c>
      <c r="X64" s="29">
        <f>IF(A64&gt;$B$5+$B$6+$B$7,0,V64/(U64-T64*X63))</f>
        <v/>
      </c>
      <c r="Y64" s="29">
        <f>IF(A64&gt;$B$5+$B$6+$B$7,0,(W64-T64*Y63)/(U64-T64*X63))</f>
        <v/>
      </c>
      <c r="Z64" s="30">
        <f>IF(A64&gt;$B$5+$B$6+$B$7,0,Y64-X64*Z65)</f>
        <v/>
      </c>
      <c r="AA64" s="29">
        <f>IF(A64&gt;$B$5+$B$6+$B$7,0,IF(A64&lt;=$B$6,$H$9*$B$9^$I$9,IF(A64&lt;=$B$6+$B$7,$H$9*$B$10^$I$9,$H$9*$B$11^$I$9)))</f>
        <v/>
      </c>
      <c r="AB64" s="29">
        <f>IF(A64&gt;$B$5+$B$6+$B$7,0,IF(A64=1,0,$B$14))</f>
        <v/>
      </c>
      <c r="AC64" s="29">
        <f>IF(A64&gt;$B$5+$B$6+$B$7,0,IF(A64&gt;$B$6+$B$7,-$B$14-$B$13/AA64,IF(A64&gt;$B$6,-$B$14-$B$13*$B$15/AA64,-$B$14-($B$13*$B$15+$B$12)/AA64)))</f>
        <v/>
      </c>
      <c r="AD64" s="29">
        <f>IF(A64&gt;$B$5+$B$6+$B$7,0,IF(A64+1&gt;$B$5+$B$6+$B$7,0,IF(A64&gt;$B$6+$B$7,$B$13/AA65,IF(A64&gt;=$B$6,$B$13*$B$15/AA65,($B$13*$B$15+$B$12)/AA65))))</f>
        <v/>
      </c>
      <c r="AE64" s="29">
        <f>IF(A64&gt;$B$5+$B$6+$B$7,0,IF(A64=$B$6,-$M$9*$B$12,0))</f>
        <v/>
      </c>
      <c r="AF64" s="29">
        <f>IF(A64&gt;$B$5+$B$6+$B$7,0,AD64/(AC64-AB64*AF63))</f>
        <v/>
      </c>
      <c r="AG64" s="29">
        <f>IF(A64&gt;$B$5+$B$6+$B$7,0,(AE64-AB64*AG63)/(AC64-AB64*AF63))</f>
        <v/>
      </c>
      <c r="AH64" s="30">
        <f>IF(A64&gt;$B$5+$B$6+$B$7,0,AG64-AF64*AH65)</f>
        <v/>
      </c>
      <c r="AI64" s="31">
        <f>IF(A64&gt;$B$5+$B$6+$B$7,0,IF(C64&lt;&gt;0,J64/C64,0))</f>
        <v/>
      </c>
      <c r="AJ64" s="31">
        <f>IF(A64&gt;$B$5+$B$6+$B$7,0,IF(K64&lt;&gt;0,R64/K64,0))</f>
        <v/>
      </c>
      <c r="AK64" s="31">
        <f>IF(A64&gt;$B$5+$B$6+$B$7,0,IF(S64&lt;&gt;0,Z64/S64,0))</f>
        <v/>
      </c>
      <c r="AL64" s="31">
        <f>IF(A64&gt;$B$5+$B$6+$B$7,0,IF(AA64&lt;&gt;0,AH64/AA64,0))</f>
        <v/>
      </c>
      <c r="AM64" s="30">
        <f>J64+R64+Z64+AH64</f>
        <v/>
      </c>
      <c r="AN64" s="30">
        <f>AI64+AJ64+AK64+AL64</f>
        <v/>
      </c>
    </row>
    <row r="65">
      <c r="A65" s="27" t="n">
        <v>46</v>
      </c>
      <c r="B65" s="28">
        <f>IF(A65&gt;$B$5+$B$6+$B$7,"—",IF(A65&lt;=$B$6,"Extraction",IF(A65&lt;=$B$6+$B$7,"Scrub","Strip")))</f>
        <v/>
      </c>
      <c r="C65" s="29">
        <f>IF(A65&gt;$B$5+$B$6+$B$7,0,IF(A65&lt;=$B$6,$H$6*$B$9^$I$6,IF(A65&lt;=$B$6+$B$7,$H$6*$B$10^$I$6,$H$6*$B$11^$I$6)))</f>
        <v/>
      </c>
      <c r="D65" s="29">
        <f>IF(A65&gt;$B$5+$B$6+$B$7,0,IF(A65=1,0,$B$14))</f>
        <v/>
      </c>
      <c r="E65" s="29">
        <f>IF(A65&gt;$B$5+$B$6+$B$7,0,IF(A65&gt;$B$6+$B$7,-$B$14-$B$13/C65,IF(A65&gt;$B$6,-$B$14-$B$13*$B$15/C65,-$B$14-($B$13*$B$15+$B$12)/C65)))</f>
        <v/>
      </c>
      <c r="F65" s="29">
        <f>IF(A65&gt;$B$5+$B$6+$B$7,0,IF(A65+1&gt;$B$5+$B$6+$B$7,0,IF(A65&gt;$B$6+$B$7,$B$13/C66,IF(A65&gt;=$B$6,$B$13*$B$15/C66,($B$13*$B$15+$B$12)/C66))))</f>
        <v/>
      </c>
      <c r="G65" s="29">
        <f>IF(A65&gt;$B$5+$B$6+$B$7,0,IF(A65=$B$6,-$M$6*$B$12,0))</f>
        <v/>
      </c>
      <c r="H65" s="29">
        <f>IF(A65&gt;$B$5+$B$6+$B$7,0,F65/(E65-D65*H64))</f>
        <v/>
      </c>
      <c r="I65" s="29">
        <f>IF(A65&gt;$B$5+$B$6+$B$7,0,(G65-D65*I64)/(E65-D65*H64))</f>
        <v/>
      </c>
      <c r="J65" s="30">
        <f>IF(A65&gt;$B$5+$B$6+$B$7,0,I65-H65*J66)</f>
        <v/>
      </c>
      <c r="K65" s="29">
        <f>IF(A65&gt;$B$5+$B$6+$B$7,0,IF(A65&lt;=$B$6,$H$7*$B$9^$I$7,IF(A65&lt;=$B$6+$B$7,$H$7*$B$10^$I$7,$H$7*$B$11^$I$7)))</f>
        <v/>
      </c>
      <c r="L65" s="29">
        <f>IF(A65&gt;$B$5+$B$6+$B$7,0,IF(A65=1,0,$B$14))</f>
        <v/>
      </c>
      <c r="M65" s="29">
        <f>IF(A65&gt;$B$5+$B$6+$B$7,0,IF(A65&gt;$B$6+$B$7,-$B$14-$B$13/K65,IF(A65&gt;$B$6,-$B$14-$B$13*$B$15/K65,-$B$14-($B$13*$B$15+$B$12)/K65)))</f>
        <v/>
      </c>
      <c r="N65" s="29">
        <f>IF(A65&gt;$B$5+$B$6+$B$7,0,IF(A65+1&gt;$B$5+$B$6+$B$7,0,IF(A65&gt;$B$6+$B$7,$B$13/K66,IF(A65&gt;=$B$6,$B$13*$B$15/K66,($B$13*$B$15+$B$12)/K66))))</f>
        <v/>
      </c>
      <c r="O65" s="29">
        <f>IF(A65&gt;$B$5+$B$6+$B$7,0,IF(A65=$B$6,-$M$7*$B$12,0))</f>
        <v/>
      </c>
      <c r="P65" s="29">
        <f>IF(A65&gt;$B$5+$B$6+$B$7,0,N65/(M65-L65*P64))</f>
        <v/>
      </c>
      <c r="Q65" s="29">
        <f>IF(A65&gt;$B$5+$B$6+$B$7,0,(O65-L65*Q64)/(M65-L65*P64))</f>
        <v/>
      </c>
      <c r="R65" s="30">
        <f>IF(A65&gt;$B$5+$B$6+$B$7,0,Q65-P65*R66)</f>
        <v/>
      </c>
      <c r="S65" s="29">
        <f>IF(A65&gt;$B$5+$B$6+$B$7,0,IF(A65&lt;=$B$6,$H$8*$B$9^$I$8,IF(A65&lt;=$B$6+$B$7,$H$8*$B$10^$I$8,$H$8*$B$11^$I$8)))</f>
        <v/>
      </c>
      <c r="T65" s="29">
        <f>IF(A65&gt;$B$5+$B$6+$B$7,0,IF(A65=1,0,$B$14))</f>
        <v/>
      </c>
      <c r="U65" s="29">
        <f>IF(A65&gt;$B$5+$B$6+$B$7,0,IF(A65&gt;$B$6+$B$7,-$B$14-$B$13/S65,IF(A65&gt;$B$6,-$B$14-$B$13*$B$15/S65,-$B$14-($B$13*$B$15+$B$12)/S65)))</f>
        <v/>
      </c>
      <c r="V65" s="29">
        <f>IF(A65&gt;$B$5+$B$6+$B$7,0,IF(A65+1&gt;$B$5+$B$6+$B$7,0,IF(A65&gt;$B$6+$B$7,$B$13/S66,IF(A65&gt;=$B$6,$B$13*$B$15/S66,($B$13*$B$15+$B$12)/S66))))</f>
        <v/>
      </c>
      <c r="W65" s="29">
        <f>IF(A65&gt;$B$5+$B$6+$B$7,0,IF(A65=$B$6,-$M$8*$B$12,0))</f>
        <v/>
      </c>
      <c r="X65" s="29">
        <f>IF(A65&gt;$B$5+$B$6+$B$7,0,V65/(U65-T65*X64))</f>
        <v/>
      </c>
      <c r="Y65" s="29">
        <f>IF(A65&gt;$B$5+$B$6+$B$7,0,(W65-T65*Y64)/(U65-T65*X64))</f>
        <v/>
      </c>
      <c r="Z65" s="30">
        <f>IF(A65&gt;$B$5+$B$6+$B$7,0,Y65-X65*Z66)</f>
        <v/>
      </c>
      <c r="AA65" s="29">
        <f>IF(A65&gt;$B$5+$B$6+$B$7,0,IF(A65&lt;=$B$6,$H$9*$B$9^$I$9,IF(A65&lt;=$B$6+$B$7,$H$9*$B$10^$I$9,$H$9*$B$11^$I$9)))</f>
        <v/>
      </c>
      <c r="AB65" s="29">
        <f>IF(A65&gt;$B$5+$B$6+$B$7,0,IF(A65=1,0,$B$14))</f>
        <v/>
      </c>
      <c r="AC65" s="29">
        <f>IF(A65&gt;$B$5+$B$6+$B$7,0,IF(A65&gt;$B$6+$B$7,-$B$14-$B$13/AA65,IF(A65&gt;$B$6,-$B$14-$B$13*$B$15/AA65,-$B$14-($B$13*$B$15+$B$12)/AA65)))</f>
        <v/>
      </c>
      <c r="AD65" s="29">
        <f>IF(A65&gt;$B$5+$B$6+$B$7,0,IF(A65+1&gt;$B$5+$B$6+$B$7,0,IF(A65&gt;$B$6+$B$7,$B$13/AA66,IF(A65&gt;=$B$6,$B$13*$B$15/AA66,($B$13*$B$15+$B$12)/AA66))))</f>
        <v/>
      </c>
      <c r="AE65" s="29">
        <f>IF(A65&gt;$B$5+$B$6+$B$7,0,IF(A65=$B$6,-$M$9*$B$12,0))</f>
        <v/>
      </c>
      <c r="AF65" s="29">
        <f>IF(A65&gt;$B$5+$B$6+$B$7,0,AD65/(AC65-AB65*AF64))</f>
        <v/>
      </c>
      <c r="AG65" s="29">
        <f>IF(A65&gt;$B$5+$B$6+$B$7,0,(AE65-AB65*AG64)/(AC65-AB65*AF64))</f>
        <v/>
      </c>
      <c r="AH65" s="30">
        <f>IF(A65&gt;$B$5+$B$6+$B$7,0,AG65-AF65*AH66)</f>
        <v/>
      </c>
      <c r="AI65" s="31">
        <f>IF(A65&gt;$B$5+$B$6+$B$7,0,IF(C65&lt;&gt;0,J65/C65,0))</f>
        <v/>
      </c>
      <c r="AJ65" s="31">
        <f>IF(A65&gt;$B$5+$B$6+$B$7,0,IF(K65&lt;&gt;0,R65/K65,0))</f>
        <v/>
      </c>
      <c r="AK65" s="31">
        <f>IF(A65&gt;$B$5+$B$6+$B$7,0,IF(S65&lt;&gt;0,Z65/S65,0))</f>
        <v/>
      </c>
      <c r="AL65" s="31">
        <f>IF(A65&gt;$B$5+$B$6+$B$7,0,IF(AA65&lt;&gt;0,AH65/AA65,0))</f>
        <v/>
      </c>
      <c r="AM65" s="30">
        <f>J65+R65+Z65+AH65</f>
        <v/>
      </c>
      <c r="AN65" s="30">
        <f>AI65+AJ65+AK65+AL65</f>
        <v/>
      </c>
    </row>
    <row r="66">
      <c r="A66" s="27" t="n">
        <v>47</v>
      </c>
      <c r="B66" s="28">
        <f>IF(A66&gt;$B$5+$B$6+$B$7,"—",IF(A66&lt;=$B$6,"Extraction",IF(A66&lt;=$B$6+$B$7,"Scrub","Strip")))</f>
        <v/>
      </c>
      <c r="C66" s="29">
        <f>IF(A66&gt;$B$5+$B$6+$B$7,0,IF(A66&lt;=$B$6,$H$6*$B$9^$I$6,IF(A66&lt;=$B$6+$B$7,$H$6*$B$10^$I$6,$H$6*$B$11^$I$6)))</f>
        <v/>
      </c>
      <c r="D66" s="29">
        <f>IF(A66&gt;$B$5+$B$6+$B$7,0,IF(A66=1,0,$B$14))</f>
        <v/>
      </c>
      <c r="E66" s="29">
        <f>IF(A66&gt;$B$5+$B$6+$B$7,0,IF(A66&gt;$B$6+$B$7,-$B$14-$B$13/C66,IF(A66&gt;$B$6,-$B$14-$B$13*$B$15/C66,-$B$14-($B$13*$B$15+$B$12)/C66)))</f>
        <v/>
      </c>
      <c r="F66" s="29">
        <f>IF(A66&gt;$B$5+$B$6+$B$7,0,IF(A66+1&gt;$B$5+$B$6+$B$7,0,IF(A66&gt;$B$6+$B$7,$B$13/C67,IF(A66&gt;=$B$6,$B$13*$B$15/C67,($B$13*$B$15+$B$12)/C67))))</f>
        <v/>
      </c>
      <c r="G66" s="29">
        <f>IF(A66&gt;$B$5+$B$6+$B$7,0,IF(A66=$B$6,-$M$6*$B$12,0))</f>
        <v/>
      </c>
      <c r="H66" s="29">
        <f>IF(A66&gt;$B$5+$B$6+$B$7,0,F66/(E66-D66*H65))</f>
        <v/>
      </c>
      <c r="I66" s="29">
        <f>IF(A66&gt;$B$5+$B$6+$B$7,0,(G66-D66*I65)/(E66-D66*H65))</f>
        <v/>
      </c>
      <c r="J66" s="30">
        <f>IF(A66&gt;$B$5+$B$6+$B$7,0,I66-H66*J67)</f>
        <v/>
      </c>
      <c r="K66" s="29">
        <f>IF(A66&gt;$B$5+$B$6+$B$7,0,IF(A66&lt;=$B$6,$H$7*$B$9^$I$7,IF(A66&lt;=$B$6+$B$7,$H$7*$B$10^$I$7,$H$7*$B$11^$I$7)))</f>
        <v/>
      </c>
      <c r="L66" s="29">
        <f>IF(A66&gt;$B$5+$B$6+$B$7,0,IF(A66=1,0,$B$14))</f>
        <v/>
      </c>
      <c r="M66" s="29">
        <f>IF(A66&gt;$B$5+$B$6+$B$7,0,IF(A66&gt;$B$6+$B$7,-$B$14-$B$13/K66,IF(A66&gt;$B$6,-$B$14-$B$13*$B$15/K66,-$B$14-($B$13*$B$15+$B$12)/K66)))</f>
        <v/>
      </c>
      <c r="N66" s="29">
        <f>IF(A66&gt;$B$5+$B$6+$B$7,0,IF(A66+1&gt;$B$5+$B$6+$B$7,0,IF(A66&gt;$B$6+$B$7,$B$13/K67,IF(A66&gt;=$B$6,$B$13*$B$15/K67,($B$13*$B$15+$B$12)/K67))))</f>
        <v/>
      </c>
      <c r="O66" s="29">
        <f>IF(A66&gt;$B$5+$B$6+$B$7,0,IF(A66=$B$6,-$M$7*$B$12,0))</f>
        <v/>
      </c>
      <c r="P66" s="29">
        <f>IF(A66&gt;$B$5+$B$6+$B$7,0,N66/(M66-L66*P65))</f>
        <v/>
      </c>
      <c r="Q66" s="29">
        <f>IF(A66&gt;$B$5+$B$6+$B$7,0,(O66-L66*Q65)/(M66-L66*P65))</f>
        <v/>
      </c>
      <c r="R66" s="30">
        <f>IF(A66&gt;$B$5+$B$6+$B$7,0,Q66-P66*R67)</f>
        <v/>
      </c>
      <c r="S66" s="29">
        <f>IF(A66&gt;$B$5+$B$6+$B$7,0,IF(A66&lt;=$B$6,$H$8*$B$9^$I$8,IF(A66&lt;=$B$6+$B$7,$H$8*$B$10^$I$8,$H$8*$B$11^$I$8)))</f>
        <v/>
      </c>
      <c r="T66" s="29">
        <f>IF(A66&gt;$B$5+$B$6+$B$7,0,IF(A66=1,0,$B$14))</f>
        <v/>
      </c>
      <c r="U66" s="29">
        <f>IF(A66&gt;$B$5+$B$6+$B$7,0,IF(A66&gt;$B$6+$B$7,-$B$14-$B$13/S66,IF(A66&gt;$B$6,-$B$14-$B$13*$B$15/S66,-$B$14-($B$13*$B$15+$B$12)/S66)))</f>
        <v/>
      </c>
      <c r="V66" s="29">
        <f>IF(A66&gt;$B$5+$B$6+$B$7,0,IF(A66+1&gt;$B$5+$B$6+$B$7,0,IF(A66&gt;$B$6+$B$7,$B$13/S67,IF(A66&gt;=$B$6,$B$13*$B$15/S67,($B$13*$B$15+$B$12)/S67))))</f>
        <v/>
      </c>
      <c r="W66" s="29">
        <f>IF(A66&gt;$B$5+$B$6+$B$7,0,IF(A66=$B$6,-$M$8*$B$12,0))</f>
        <v/>
      </c>
      <c r="X66" s="29">
        <f>IF(A66&gt;$B$5+$B$6+$B$7,0,V66/(U66-T66*X65))</f>
        <v/>
      </c>
      <c r="Y66" s="29">
        <f>IF(A66&gt;$B$5+$B$6+$B$7,0,(W66-T66*Y65)/(U66-T66*X65))</f>
        <v/>
      </c>
      <c r="Z66" s="30">
        <f>IF(A66&gt;$B$5+$B$6+$B$7,0,Y66-X66*Z67)</f>
        <v/>
      </c>
      <c r="AA66" s="29">
        <f>IF(A66&gt;$B$5+$B$6+$B$7,0,IF(A66&lt;=$B$6,$H$9*$B$9^$I$9,IF(A66&lt;=$B$6+$B$7,$H$9*$B$10^$I$9,$H$9*$B$11^$I$9)))</f>
        <v/>
      </c>
      <c r="AB66" s="29">
        <f>IF(A66&gt;$B$5+$B$6+$B$7,0,IF(A66=1,0,$B$14))</f>
        <v/>
      </c>
      <c r="AC66" s="29">
        <f>IF(A66&gt;$B$5+$B$6+$B$7,0,IF(A66&gt;$B$6+$B$7,-$B$14-$B$13/AA66,IF(A66&gt;$B$6,-$B$14-$B$13*$B$15/AA66,-$B$14-($B$13*$B$15+$B$12)/AA66)))</f>
        <v/>
      </c>
      <c r="AD66" s="29">
        <f>IF(A66&gt;$B$5+$B$6+$B$7,0,IF(A66+1&gt;$B$5+$B$6+$B$7,0,IF(A66&gt;$B$6+$B$7,$B$13/AA67,IF(A66&gt;=$B$6,$B$13*$B$15/AA67,($B$13*$B$15+$B$12)/AA67))))</f>
        <v/>
      </c>
      <c r="AE66" s="29">
        <f>IF(A66&gt;$B$5+$B$6+$B$7,0,IF(A66=$B$6,-$M$9*$B$12,0))</f>
        <v/>
      </c>
      <c r="AF66" s="29">
        <f>IF(A66&gt;$B$5+$B$6+$B$7,0,AD66/(AC66-AB66*AF65))</f>
        <v/>
      </c>
      <c r="AG66" s="29">
        <f>IF(A66&gt;$B$5+$B$6+$B$7,0,(AE66-AB66*AG65)/(AC66-AB66*AF65))</f>
        <v/>
      </c>
      <c r="AH66" s="30">
        <f>IF(A66&gt;$B$5+$B$6+$B$7,0,AG66-AF66*AH67)</f>
        <v/>
      </c>
      <c r="AI66" s="31">
        <f>IF(A66&gt;$B$5+$B$6+$B$7,0,IF(C66&lt;&gt;0,J66/C66,0))</f>
        <v/>
      </c>
      <c r="AJ66" s="31">
        <f>IF(A66&gt;$B$5+$B$6+$B$7,0,IF(K66&lt;&gt;0,R66/K66,0))</f>
        <v/>
      </c>
      <c r="AK66" s="31">
        <f>IF(A66&gt;$B$5+$B$6+$B$7,0,IF(S66&lt;&gt;0,Z66/S66,0))</f>
        <v/>
      </c>
      <c r="AL66" s="31">
        <f>IF(A66&gt;$B$5+$B$6+$B$7,0,IF(AA66&lt;&gt;0,AH66/AA66,0))</f>
        <v/>
      </c>
      <c r="AM66" s="30">
        <f>J66+R66+Z66+AH66</f>
        <v/>
      </c>
      <c r="AN66" s="30">
        <f>AI66+AJ66+AK66+AL66</f>
        <v/>
      </c>
    </row>
    <row r="67">
      <c r="A67" s="27" t="n">
        <v>48</v>
      </c>
      <c r="B67" s="28">
        <f>IF(A67&gt;$B$5+$B$6+$B$7,"—",IF(A67&lt;=$B$6,"Extraction",IF(A67&lt;=$B$6+$B$7,"Scrub","Strip")))</f>
        <v/>
      </c>
      <c r="C67" s="29">
        <f>IF(A67&gt;$B$5+$B$6+$B$7,0,IF(A67&lt;=$B$6,$H$6*$B$9^$I$6,IF(A67&lt;=$B$6+$B$7,$H$6*$B$10^$I$6,$H$6*$B$11^$I$6)))</f>
        <v/>
      </c>
      <c r="D67" s="29">
        <f>IF(A67&gt;$B$5+$B$6+$B$7,0,IF(A67=1,0,$B$14))</f>
        <v/>
      </c>
      <c r="E67" s="29">
        <f>IF(A67&gt;$B$5+$B$6+$B$7,0,IF(A67&gt;$B$6+$B$7,-$B$14-$B$13/C67,IF(A67&gt;$B$6,-$B$14-$B$13*$B$15/C67,-$B$14-($B$13*$B$15+$B$12)/C67)))</f>
        <v/>
      </c>
      <c r="F67" s="29">
        <f>IF(A67&gt;$B$5+$B$6+$B$7,0,IF(A67+1&gt;$B$5+$B$6+$B$7,0,IF(A67&gt;$B$6+$B$7,$B$13/C68,IF(A67&gt;=$B$6,$B$13*$B$15/C68,($B$13*$B$15+$B$12)/C68))))</f>
        <v/>
      </c>
      <c r="G67" s="29">
        <f>IF(A67&gt;$B$5+$B$6+$B$7,0,IF(A67=$B$6,-$M$6*$B$12,0))</f>
        <v/>
      </c>
      <c r="H67" s="29">
        <f>IF(A67&gt;$B$5+$B$6+$B$7,0,F67/(E67-D67*H66))</f>
        <v/>
      </c>
      <c r="I67" s="29">
        <f>IF(A67&gt;$B$5+$B$6+$B$7,0,(G67-D67*I66)/(E67-D67*H66))</f>
        <v/>
      </c>
      <c r="J67" s="30">
        <f>IF(A67&gt;$B$5+$B$6+$B$7,0,I67-H67*J68)</f>
        <v/>
      </c>
      <c r="K67" s="29">
        <f>IF(A67&gt;$B$5+$B$6+$B$7,0,IF(A67&lt;=$B$6,$H$7*$B$9^$I$7,IF(A67&lt;=$B$6+$B$7,$H$7*$B$10^$I$7,$H$7*$B$11^$I$7)))</f>
        <v/>
      </c>
      <c r="L67" s="29">
        <f>IF(A67&gt;$B$5+$B$6+$B$7,0,IF(A67=1,0,$B$14))</f>
        <v/>
      </c>
      <c r="M67" s="29">
        <f>IF(A67&gt;$B$5+$B$6+$B$7,0,IF(A67&gt;$B$6+$B$7,-$B$14-$B$13/K67,IF(A67&gt;$B$6,-$B$14-$B$13*$B$15/K67,-$B$14-($B$13*$B$15+$B$12)/K67)))</f>
        <v/>
      </c>
      <c r="N67" s="29">
        <f>IF(A67&gt;$B$5+$B$6+$B$7,0,IF(A67+1&gt;$B$5+$B$6+$B$7,0,IF(A67&gt;$B$6+$B$7,$B$13/K68,IF(A67&gt;=$B$6,$B$13*$B$15/K68,($B$13*$B$15+$B$12)/K68))))</f>
        <v/>
      </c>
      <c r="O67" s="29">
        <f>IF(A67&gt;$B$5+$B$6+$B$7,0,IF(A67=$B$6,-$M$7*$B$12,0))</f>
        <v/>
      </c>
      <c r="P67" s="29">
        <f>IF(A67&gt;$B$5+$B$6+$B$7,0,N67/(M67-L67*P66))</f>
        <v/>
      </c>
      <c r="Q67" s="29">
        <f>IF(A67&gt;$B$5+$B$6+$B$7,0,(O67-L67*Q66)/(M67-L67*P66))</f>
        <v/>
      </c>
      <c r="R67" s="30">
        <f>IF(A67&gt;$B$5+$B$6+$B$7,0,Q67-P67*R68)</f>
        <v/>
      </c>
      <c r="S67" s="29">
        <f>IF(A67&gt;$B$5+$B$6+$B$7,0,IF(A67&lt;=$B$6,$H$8*$B$9^$I$8,IF(A67&lt;=$B$6+$B$7,$H$8*$B$10^$I$8,$H$8*$B$11^$I$8)))</f>
        <v/>
      </c>
      <c r="T67" s="29">
        <f>IF(A67&gt;$B$5+$B$6+$B$7,0,IF(A67=1,0,$B$14))</f>
        <v/>
      </c>
      <c r="U67" s="29">
        <f>IF(A67&gt;$B$5+$B$6+$B$7,0,IF(A67&gt;$B$6+$B$7,-$B$14-$B$13/S67,IF(A67&gt;$B$6,-$B$14-$B$13*$B$15/S67,-$B$14-($B$13*$B$15+$B$12)/S67)))</f>
        <v/>
      </c>
      <c r="V67" s="29">
        <f>IF(A67&gt;$B$5+$B$6+$B$7,0,IF(A67+1&gt;$B$5+$B$6+$B$7,0,IF(A67&gt;$B$6+$B$7,$B$13/S68,IF(A67&gt;=$B$6,$B$13*$B$15/S68,($B$13*$B$15+$B$12)/S68))))</f>
        <v/>
      </c>
      <c r="W67" s="29">
        <f>IF(A67&gt;$B$5+$B$6+$B$7,0,IF(A67=$B$6,-$M$8*$B$12,0))</f>
        <v/>
      </c>
      <c r="X67" s="29">
        <f>IF(A67&gt;$B$5+$B$6+$B$7,0,V67/(U67-T67*X66))</f>
        <v/>
      </c>
      <c r="Y67" s="29">
        <f>IF(A67&gt;$B$5+$B$6+$B$7,0,(W67-T67*Y66)/(U67-T67*X66))</f>
        <v/>
      </c>
      <c r="Z67" s="30">
        <f>IF(A67&gt;$B$5+$B$6+$B$7,0,Y67-X67*Z68)</f>
        <v/>
      </c>
      <c r="AA67" s="29">
        <f>IF(A67&gt;$B$5+$B$6+$B$7,0,IF(A67&lt;=$B$6,$H$9*$B$9^$I$9,IF(A67&lt;=$B$6+$B$7,$H$9*$B$10^$I$9,$H$9*$B$11^$I$9)))</f>
        <v/>
      </c>
      <c r="AB67" s="29">
        <f>IF(A67&gt;$B$5+$B$6+$B$7,0,IF(A67=1,0,$B$14))</f>
        <v/>
      </c>
      <c r="AC67" s="29">
        <f>IF(A67&gt;$B$5+$B$6+$B$7,0,IF(A67&gt;$B$6+$B$7,-$B$14-$B$13/AA67,IF(A67&gt;$B$6,-$B$14-$B$13*$B$15/AA67,-$B$14-($B$13*$B$15+$B$12)/AA67)))</f>
        <v/>
      </c>
      <c r="AD67" s="29">
        <f>IF(A67&gt;$B$5+$B$6+$B$7,0,IF(A67+1&gt;$B$5+$B$6+$B$7,0,IF(A67&gt;$B$6+$B$7,$B$13/AA68,IF(A67&gt;=$B$6,$B$13*$B$15/AA68,($B$13*$B$15+$B$12)/AA68))))</f>
        <v/>
      </c>
      <c r="AE67" s="29">
        <f>IF(A67&gt;$B$5+$B$6+$B$7,0,IF(A67=$B$6,-$M$9*$B$12,0))</f>
        <v/>
      </c>
      <c r="AF67" s="29">
        <f>IF(A67&gt;$B$5+$B$6+$B$7,0,AD67/(AC67-AB67*AF66))</f>
        <v/>
      </c>
      <c r="AG67" s="29">
        <f>IF(A67&gt;$B$5+$B$6+$B$7,0,(AE67-AB67*AG66)/(AC67-AB67*AF66))</f>
        <v/>
      </c>
      <c r="AH67" s="30">
        <f>IF(A67&gt;$B$5+$B$6+$B$7,0,AG67-AF67*AH68)</f>
        <v/>
      </c>
      <c r="AI67" s="31">
        <f>IF(A67&gt;$B$5+$B$6+$B$7,0,IF(C67&lt;&gt;0,J67/C67,0))</f>
        <v/>
      </c>
      <c r="AJ67" s="31">
        <f>IF(A67&gt;$B$5+$B$6+$B$7,0,IF(K67&lt;&gt;0,R67/K67,0))</f>
        <v/>
      </c>
      <c r="AK67" s="31">
        <f>IF(A67&gt;$B$5+$B$6+$B$7,0,IF(S67&lt;&gt;0,Z67/S67,0))</f>
        <v/>
      </c>
      <c r="AL67" s="31">
        <f>IF(A67&gt;$B$5+$B$6+$B$7,0,IF(AA67&lt;&gt;0,AH67/AA67,0))</f>
        <v/>
      </c>
      <c r="AM67" s="30">
        <f>J67+R67+Z67+AH67</f>
        <v/>
      </c>
      <c r="AN67" s="30">
        <f>AI67+AJ67+AK67+AL67</f>
        <v/>
      </c>
    </row>
    <row r="68">
      <c r="A68" s="27" t="n">
        <v>49</v>
      </c>
      <c r="B68" s="28">
        <f>IF(A68&gt;$B$5+$B$6+$B$7,"—",IF(A68&lt;=$B$6,"Extraction",IF(A68&lt;=$B$6+$B$7,"Scrub","Strip")))</f>
        <v/>
      </c>
      <c r="C68" s="29">
        <f>IF(A68&gt;$B$5+$B$6+$B$7,0,IF(A68&lt;=$B$6,$H$6*$B$9^$I$6,IF(A68&lt;=$B$6+$B$7,$H$6*$B$10^$I$6,$H$6*$B$11^$I$6)))</f>
        <v/>
      </c>
      <c r="D68" s="29">
        <f>IF(A68&gt;$B$5+$B$6+$B$7,0,IF(A68=1,0,$B$14))</f>
        <v/>
      </c>
      <c r="E68" s="29">
        <f>IF(A68&gt;$B$5+$B$6+$B$7,0,IF(A68&gt;$B$6+$B$7,-$B$14-$B$13/C68,IF(A68&gt;$B$6,-$B$14-$B$13*$B$15/C68,-$B$14-($B$13*$B$15+$B$12)/C68)))</f>
        <v/>
      </c>
      <c r="F68" s="29">
        <f>IF(A68&gt;$B$5+$B$6+$B$7,0,IF(A68+1&gt;$B$5+$B$6+$B$7,0,IF(A68&gt;$B$6+$B$7,$B$13/C69,IF(A68&gt;=$B$6,$B$13*$B$15/C69,($B$13*$B$15+$B$12)/C69))))</f>
        <v/>
      </c>
      <c r="G68" s="29">
        <f>IF(A68&gt;$B$5+$B$6+$B$7,0,IF(A68=$B$6,-$M$6*$B$12,0))</f>
        <v/>
      </c>
      <c r="H68" s="29">
        <f>IF(A68&gt;$B$5+$B$6+$B$7,0,F68/(E68-D68*H67))</f>
        <v/>
      </c>
      <c r="I68" s="29">
        <f>IF(A68&gt;$B$5+$B$6+$B$7,0,(G68-D68*I67)/(E68-D68*H67))</f>
        <v/>
      </c>
      <c r="J68" s="30">
        <f>IF(A68&gt;$B$5+$B$6+$B$7,0,I68-H68*J69)</f>
        <v/>
      </c>
      <c r="K68" s="29">
        <f>IF(A68&gt;$B$5+$B$6+$B$7,0,IF(A68&lt;=$B$6,$H$7*$B$9^$I$7,IF(A68&lt;=$B$6+$B$7,$H$7*$B$10^$I$7,$H$7*$B$11^$I$7)))</f>
        <v/>
      </c>
      <c r="L68" s="29">
        <f>IF(A68&gt;$B$5+$B$6+$B$7,0,IF(A68=1,0,$B$14))</f>
        <v/>
      </c>
      <c r="M68" s="29">
        <f>IF(A68&gt;$B$5+$B$6+$B$7,0,IF(A68&gt;$B$6+$B$7,-$B$14-$B$13/K68,IF(A68&gt;$B$6,-$B$14-$B$13*$B$15/K68,-$B$14-($B$13*$B$15+$B$12)/K68)))</f>
        <v/>
      </c>
      <c r="N68" s="29">
        <f>IF(A68&gt;$B$5+$B$6+$B$7,0,IF(A68+1&gt;$B$5+$B$6+$B$7,0,IF(A68&gt;$B$6+$B$7,$B$13/K69,IF(A68&gt;=$B$6,$B$13*$B$15/K69,($B$13*$B$15+$B$12)/K69))))</f>
        <v/>
      </c>
      <c r="O68" s="29">
        <f>IF(A68&gt;$B$5+$B$6+$B$7,0,IF(A68=$B$6,-$M$7*$B$12,0))</f>
        <v/>
      </c>
      <c r="P68" s="29">
        <f>IF(A68&gt;$B$5+$B$6+$B$7,0,N68/(M68-L68*P67))</f>
        <v/>
      </c>
      <c r="Q68" s="29">
        <f>IF(A68&gt;$B$5+$B$6+$B$7,0,(O68-L68*Q67)/(M68-L68*P67))</f>
        <v/>
      </c>
      <c r="R68" s="30">
        <f>IF(A68&gt;$B$5+$B$6+$B$7,0,Q68-P68*R69)</f>
        <v/>
      </c>
      <c r="S68" s="29">
        <f>IF(A68&gt;$B$5+$B$6+$B$7,0,IF(A68&lt;=$B$6,$H$8*$B$9^$I$8,IF(A68&lt;=$B$6+$B$7,$H$8*$B$10^$I$8,$H$8*$B$11^$I$8)))</f>
        <v/>
      </c>
      <c r="T68" s="29">
        <f>IF(A68&gt;$B$5+$B$6+$B$7,0,IF(A68=1,0,$B$14))</f>
        <v/>
      </c>
      <c r="U68" s="29">
        <f>IF(A68&gt;$B$5+$B$6+$B$7,0,IF(A68&gt;$B$6+$B$7,-$B$14-$B$13/S68,IF(A68&gt;$B$6,-$B$14-$B$13*$B$15/S68,-$B$14-($B$13*$B$15+$B$12)/S68)))</f>
        <v/>
      </c>
      <c r="V68" s="29">
        <f>IF(A68&gt;$B$5+$B$6+$B$7,0,IF(A68+1&gt;$B$5+$B$6+$B$7,0,IF(A68&gt;$B$6+$B$7,$B$13/S69,IF(A68&gt;=$B$6,$B$13*$B$15/S69,($B$13*$B$15+$B$12)/S69))))</f>
        <v/>
      </c>
      <c r="W68" s="29">
        <f>IF(A68&gt;$B$5+$B$6+$B$7,0,IF(A68=$B$6,-$M$8*$B$12,0))</f>
        <v/>
      </c>
      <c r="X68" s="29">
        <f>IF(A68&gt;$B$5+$B$6+$B$7,0,V68/(U68-T68*X67))</f>
        <v/>
      </c>
      <c r="Y68" s="29">
        <f>IF(A68&gt;$B$5+$B$6+$B$7,0,(W68-T68*Y67)/(U68-T68*X67))</f>
        <v/>
      </c>
      <c r="Z68" s="30">
        <f>IF(A68&gt;$B$5+$B$6+$B$7,0,Y68-X68*Z69)</f>
        <v/>
      </c>
      <c r="AA68" s="29">
        <f>IF(A68&gt;$B$5+$B$6+$B$7,0,IF(A68&lt;=$B$6,$H$9*$B$9^$I$9,IF(A68&lt;=$B$6+$B$7,$H$9*$B$10^$I$9,$H$9*$B$11^$I$9)))</f>
        <v/>
      </c>
      <c r="AB68" s="29">
        <f>IF(A68&gt;$B$5+$B$6+$B$7,0,IF(A68=1,0,$B$14))</f>
        <v/>
      </c>
      <c r="AC68" s="29">
        <f>IF(A68&gt;$B$5+$B$6+$B$7,0,IF(A68&gt;$B$6+$B$7,-$B$14-$B$13/AA68,IF(A68&gt;$B$6,-$B$14-$B$13*$B$15/AA68,-$B$14-($B$13*$B$15+$B$12)/AA68)))</f>
        <v/>
      </c>
      <c r="AD68" s="29">
        <f>IF(A68&gt;$B$5+$B$6+$B$7,0,IF(A68+1&gt;$B$5+$B$6+$B$7,0,IF(A68&gt;$B$6+$B$7,$B$13/AA69,IF(A68&gt;=$B$6,$B$13*$B$15/AA69,($B$13*$B$15+$B$12)/AA69))))</f>
        <v/>
      </c>
      <c r="AE68" s="29">
        <f>IF(A68&gt;$B$5+$B$6+$B$7,0,IF(A68=$B$6,-$M$9*$B$12,0))</f>
        <v/>
      </c>
      <c r="AF68" s="29">
        <f>IF(A68&gt;$B$5+$B$6+$B$7,0,AD68/(AC68-AB68*AF67))</f>
        <v/>
      </c>
      <c r="AG68" s="29">
        <f>IF(A68&gt;$B$5+$B$6+$B$7,0,(AE68-AB68*AG67)/(AC68-AB68*AF67))</f>
        <v/>
      </c>
      <c r="AH68" s="30">
        <f>IF(A68&gt;$B$5+$B$6+$B$7,0,AG68-AF68*AH69)</f>
        <v/>
      </c>
      <c r="AI68" s="31">
        <f>IF(A68&gt;$B$5+$B$6+$B$7,0,IF(C68&lt;&gt;0,J68/C68,0))</f>
        <v/>
      </c>
      <c r="AJ68" s="31">
        <f>IF(A68&gt;$B$5+$B$6+$B$7,0,IF(K68&lt;&gt;0,R68/K68,0))</f>
        <v/>
      </c>
      <c r="AK68" s="31">
        <f>IF(A68&gt;$B$5+$B$6+$B$7,0,IF(S68&lt;&gt;0,Z68/S68,0))</f>
        <v/>
      </c>
      <c r="AL68" s="31">
        <f>IF(A68&gt;$B$5+$B$6+$B$7,0,IF(AA68&lt;&gt;0,AH68/AA68,0))</f>
        <v/>
      </c>
      <c r="AM68" s="30">
        <f>J68+R68+Z68+AH68</f>
        <v/>
      </c>
      <c r="AN68" s="30">
        <f>AI68+AJ68+AK68+AL68</f>
        <v/>
      </c>
    </row>
    <row r="69">
      <c r="A69" s="27" t="n">
        <v>50</v>
      </c>
      <c r="B69" s="28">
        <f>IF(A69&gt;$B$5+$B$6+$B$7,"—",IF(A69&lt;=$B$6,"Extraction",IF(A69&lt;=$B$6+$B$7,"Scrub","Strip")))</f>
        <v/>
      </c>
      <c r="C69" s="29">
        <f>IF(A69&gt;$B$5+$B$6+$B$7,0,IF(A69&lt;=$B$6,$H$6*$B$9^$I$6,IF(A69&lt;=$B$6+$B$7,$H$6*$B$10^$I$6,$H$6*$B$11^$I$6)))</f>
        <v/>
      </c>
      <c r="D69" s="29">
        <f>IF(A69&gt;$B$5+$B$6+$B$7,0,IF(A69=1,0,$B$14))</f>
        <v/>
      </c>
      <c r="E69" s="29">
        <f>IF(A69&gt;$B$5+$B$6+$B$7,0,IF(A69&gt;$B$6+$B$7,-$B$14-$B$13/C69,IF(A69&gt;$B$6,-$B$14-$B$13*$B$15/C69,-$B$14-($B$13*$B$15+$B$12)/C69)))</f>
        <v/>
      </c>
      <c r="F69" s="29">
        <f>IF(A69&gt;$B$5+$B$6+$B$7,0,IF(A69+1&gt;$B$5+$B$6+$B$7,0,IF(A69&gt;$B$6+$B$7,$B$13/C70,IF(A69&gt;=$B$6,$B$13*$B$15/C70,($B$13*$B$15+$B$12)/C70))))</f>
        <v/>
      </c>
      <c r="G69" s="29">
        <f>IF(A69&gt;$B$5+$B$6+$B$7,0,IF(A69=$B$6,-$M$6*$B$12,0))</f>
        <v/>
      </c>
      <c r="H69" s="29">
        <f>IF(A69&gt;$B$5+$B$6+$B$7,0,F69/(E69-D69*H68))</f>
        <v/>
      </c>
      <c r="I69" s="29">
        <f>IF(A69&gt;$B$5+$B$6+$B$7,0,(G69-D69*I68)/(E69-D69*H68))</f>
        <v/>
      </c>
      <c r="J69" s="30">
        <f>IF(A69&gt;$B$5+$B$6+$B$7,0,I69-H69*J70)</f>
        <v/>
      </c>
      <c r="K69" s="29">
        <f>IF(A69&gt;$B$5+$B$6+$B$7,0,IF(A69&lt;=$B$6,$H$7*$B$9^$I$7,IF(A69&lt;=$B$6+$B$7,$H$7*$B$10^$I$7,$H$7*$B$11^$I$7)))</f>
        <v/>
      </c>
      <c r="L69" s="29">
        <f>IF(A69&gt;$B$5+$B$6+$B$7,0,IF(A69=1,0,$B$14))</f>
        <v/>
      </c>
      <c r="M69" s="29">
        <f>IF(A69&gt;$B$5+$B$6+$B$7,0,IF(A69&gt;$B$6+$B$7,-$B$14-$B$13/K69,IF(A69&gt;$B$6,-$B$14-$B$13*$B$15/K69,-$B$14-($B$13*$B$15+$B$12)/K69)))</f>
        <v/>
      </c>
      <c r="N69" s="29">
        <f>IF(A69&gt;$B$5+$B$6+$B$7,0,IF(A69+1&gt;$B$5+$B$6+$B$7,0,IF(A69&gt;$B$6+$B$7,$B$13/K70,IF(A69&gt;=$B$6,$B$13*$B$15/K70,($B$13*$B$15+$B$12)/K70))))</f>
        <v/>
      </c>
      <c r="O69" s="29">
        <f>IF(A69&gt;$B$5+$B$6+$B$7,0,IF(A69=$B$6,-$M$7*$B$12,0))</f>
        <v/>
      </c>
      <c r="P69" s="29">
        <f>IF(A69&gt;$B$5+$B$6+$B$7,0,N69/(M69-L69*P68))</f>
        <v/>
      </c>
      <c r="Q69" s="29">
        <f>IF(A69&gt;$B$5+$B$6+$B$7,0,(O69-L69*Q68)/(M69-L69*P68))</f>
        <v/>
      </c>
      <c r="R69" s="30">
        <f>IF(A69&gt;$B$5+$B$6+$B$7,0,Q69-P69*R70)</f>
        <v/>
      </c>
      <c r="S69" s="29">
        <f>IF(A69&gt;$B$5+$B$6+$B$7,0,IF(A69&lt;=$B$6,$H$8*$B$9^$I$8,IF(A69&lt;=$B$6+$B$7,$H$8*$B$10^$I$8,$H$8*$B$11^$I$8)))</f>
        <v/>
      </c>
      <c r="T69" s="29">
        <f>IF(A69&gt;$B$5+$B$6+$B$7,0,IF(A69=1,0,$B$14))</f>
        <v/>
      </c>
      <c r="U69" s="29">
        <f>IF(A69&gt;$B$5+$B$6+$B$7,0,IF(A69&gt;$B$6+$B$7,-$B$14-$B$13/S69,IF(A69&gt;$B$6,-$B$14-$B$13*$B$15/S69,-$B$14-($B$13*$B$15+$B$12)/S69)))</f>
        <v/>
      </c>
      <c r="V69" s="29">
        <f>IF(A69&gt;$B$5+$B$6+$B$7,0,IF(A69+1&gt;$B$5+$B$6+$B$7,0,IF(A69&gt;$B$6+$B$7,$B$13/S70,IF(A69&gt;=$B$6,$B$13*$B$15/S70,($B$13*$B$15+$B$12)/S70))))</f>
        <v/>
      </c>
      <c r="W69" s="29">
        <f>IF(A69&gt;$B$5+$B$6+$B$7,0,IF(A69=$B$6,-$M$8*$B$12,0))</f>
        <v/>
      </c>
      <c r="X69" s="29">
        <f>IF(A69&gt;$B$5+$B$6+$B$7,0,V69/(U69-T69*X68))</f>
        <v/>
      </c>
      <c r="Y69" s="29">
        <f>IF(A69&gt;$B$5+$B$6+$B$7,0,(W69-T69*Y68)/(U69-T69*X68))</f>
        <v/>
      </c>
      <c r="Z69" s="30">
        <f>IF(A69&gt;$B$5+$B$6+$B$7,0,Y69-X69*Z70)</f>
        <v/>
      </c>
      <c r="AA69" s="29">
        <f>IF(A69&gt;$B$5+$B$6+$B$7,0,IF(A69&lt;=$B$6,$H$9*$B$9^$I$9,IF(A69&lt;=$B$6+$B$7,$H$9*$B$10^$I$9,$H$9*$B$11^$I$9)))</f>
        <v/>
      </c>
      <c r="AB69" s="29">
        <f>IF(A69&gt;$B$5+$B$6+$B$7,0,IF(A69=1,0,$B$14))</f>
        <v/>
      </c>
      <c r="AC69" s="29">
        <f>IF(A69&gt;$B$5+$B$6+$B$7,0,IF(A69&gt;$B$6+$B$7,-$B$14-$B$13/AA69,IF(A69&gt;$B$6,-$B$14-$B$13*$B$15/AA69,-$B$14-($B$13*$B$15+$B$12)/AA69)))</f>
        <v/>
      </c>
      <c r="AD69" s="29">
        <f>IF(A69&gt;$B$5+$B$6+$B$7,0,IF(A69+1&gt;$B$5+$B$6+$B$7,0,IF(A69&gt;$B$6+$B$7,$B$13/AA70,IF(A69&gt;=$B$6,$B$13*$B$15/AA70,($B$13*$B$15+$B$12)/AA70))))</f>
        <v/>
      </c>
      <c r="AE69" s="29">
        <f>IF(A69&gt;$B$5+$B$6+$B$7,0,IF(A69=$B$6,-$M$9*$B$12,0))</f>
        <v/>
      </c>
      <c r="AF69" s="29">
        <f>IF(A69&gt;$B$5+$B$6+$B$7,0,AD69/(AC69-AB69*AF68))</f>
        <v/>
      </c>
      <c r="AG69" s="29">
        <f>IF(A69&gt;$B$5+$B$6+$B$7,0,(AE69-AB69*AG68)/(AC69-AB69*AF68))</f>
        <v/>
      </c>
      <c r="AH69" s="30">
        <f>IF(A69&gt;$B$5+$B$6+$B$7,0,AG69-AF69*AH70)</f>
        <v/>
      </c>
      <c r="AI69" s="31">
        <f>IF(A69&gt;$B$5+$B$6+$B$7,0,IF(C69&lt;&gt;0,J69/C69,0))</f>
        <v/>
      </c>
      <c r="AJ69" s="31">
        <f>IF(A69&gt;$B$5+$B$6+$B$7,0,IF(K69&lt;&gt;0,R69/K69,0))</f>
        <v/>
      </c>
      <c r="AK69" s="31">
        <f>IF(A69&gt;$B$5+$B$6+$B$7,0,IF(S69&lt;&gt;0,Z69/S69,0))</f>
        <v/>
      </c>
      <c r="AL69" s="31">
        <f>IF(A69&gt;$B$5+$B$6+$B$7,0,IF(AA69&lt;&gt;0,AH69/AA69,0))</f>
        <v/>
      </c>
      <c r="AM69" s="30">
        <f>J69+R69+Z69+AH69</f>
        <v/>
      </c>
      <c r="AN69" s="30">
        <f>AI69+AJ69+AK69+AL69</f>
        <v/>
      </c>
    </row>
    <row r="70">
      <c r="A70" s="27" t="n">
        <v>51</v>
      </c>
      <c r="B70" s="28">
        <f>IF(A70&gt;$B$5+$B$6+$B$7,"—",IF(A70&lt;=$B$6,"Extraction",IF(A70&lt;=$B$6+$B$7,"Scrub","Strip")))</f>
        <v/>
      </c>
      <c r="C70" s="29">
        <f>IF(A70&gt;$B$5+$B$6+$B$7,0,IF(A70&lt;=$B$6,$H$6*$B$9^$I$6,IF(A70&lt;=$B$6+$B$7,$H$6*$B$10^$I$6,$H$6*$B$11^$I$6)))</f>
        <v/>
      </c>
      <c r="D70" s="29">
        <f>IF(A70&gt;$B$5+$B$6+$B$7,0,IF(A70=1,0,$B$14))</f>
        <v/>
      </c>
      <c r="E70" s="29">
        <f>IF(A70&gt;$B$5+$B$6+$B$7,0,IF(A70&gt;$B$6+$B$7,-$B$14-$B$13/C70,IF(A70&gt;$B$6,-$B$14-$B$13*$B$15/C70,-$B$14-($B$13*$B$15+$B$12)/C70)))</f>
        <v/>
      </c>
      <c r="F70" s="29">
        <f>IF(A70&gt;$B$5+$B$6+$B$7,0,IF(A70+1&gt;$B$5+$B$6+$B$7,0,IF(A70&gt;$B$6+$B$7,$B$13/C71,IF(A70&gt;=$B$6,$B$13*$B$15/C71,($B$13*$B$15+$B$12)/C71))))</f>
        <v/>
      </c>
      <c r="G70" s="29">
        <f>IF(A70&gt;$B$5+$B$6+$B$7,0,IF(A70=$B$6,-$M$6*$B$12,0))</f>
        <v/>
      </c>
      <c r="H70" s="29">
        <f>IF(A70&gt;$B$5+$B$6+$B$7,0,F70/(E70-D70*H69))</f>
        <v/>
      </c>
      <c r="I70" s="29">
        <f>IF(A70&gt;$B$5+$B$6+$B$7,0,(G70-D70*I69)/(E70-D70*H69))</f>
        <v/>
      </c>
      <c r="J70" s="30">
        <f>IF(A70&gt;$B$5+$B$6+$B$7,0,I70-H70*J71)</f>
        <v/>
      </c>
      <c r="K70" s="29">
        <f>IF(A70&gt;$B$5+$B$6+$B$7,0,IF(A70&lt;=$B$6,$H$7*$B$9^$I$7,IF(A70&lt;=$B$6+$B$7,$H$7*$B$10^$I$7,$H$7*$B$11^$I$7)))</f>
        <v/>
      </c>
      <c r="L70" s="29">
        <f>IF(A70&gt;$B$5+$B$6+$B$7,0,IF(A70=1,0,$B$14))</f>
        <v/>
      </c>
      <c r="M70" s="29">
        <f>IF(A70&gt;$B$5+$B$6+$B$7,0,IF(A70&gt;$B$6+$B$7,-$B$14-$B$13/K70,IF(A70&gt;$B$6,-$B$14-$B$13*$B$15/K70,-$B$14-($B$13*$B$15+$B$12)/K70)))</f>
        <v/>
      </c>
      <c r="N70" s="29">
        <f>IF(A70&gt;$B$5+$B$6+$B$7,0,IF(A70+1&gt;$B$5+$B$6+$B$7,0,IF(A70&gt;$B$6+$B$7,$B$13/K71,IF(A70&gt;=$B$6,$B$13*$B$15/K71,($B$13*$B$15+$B$12)/K71))))</f>
        <v/>
      </c>
      <c r="O70" s="29">
        <f>IF(A70&gt;$B$5+$B$6+$B$7,0,IF(A70=$B$6,-$M$7*$B$12,0))</f>
        <v/>
      </c>
      <c r="P70" s="29">
        <f>IF(A70&gt;$B$5+$B$6+$B$7,0,N70/(M70-L70*P69))</f>
        <v/>
      </c>
      <c r="Q70" s="29">
        <f>IF(A70&gt;$B$5+$B$6+$B$7,0,(O70-L70*Q69)/(M70-L70*P69))</f>
        <v/>
      </c>
      <c r="R70" s="30">
        <f>IF(A70&gt;$B$5+$B$6+$B$7,0,Q70-P70*R71)</f>
        <v/>
      </c>
      <c r="S70" s="29">
        <f>IF(A70&gt;$B$5+$B$6+$B$7,0,IF(A70&lt;=$B$6,$H$8*$B$9^$I$8,IF(A70&lt;=$B$6+$B$7,$H$8*$B$10^$I$8,$H$8*$B$11^$I$8)))</f>
        <v/>
      </c>
      <c r="T70" s="29">
        <f>IF(A70&gt;$B$5+$B$6+$B$7,0,IF(A70=1,0,$B$14))</f>
        <v/>
      </c>
      <c r="U70" s="29">
        <f>IF(A70&gt;$B$5+$B$6+$B$7,0,IF(A70&gt;$B$6+$B$7,-$B$14-$B$13/S70,IF(A70&gt;$B$6,-$B$14-$B$13*$B$15/S70,-$B$14-($B$13*$B$15+$B$12)/S70)))</f>
        <v/>
      </c>
      <c r="V70" s="29">
        <f>IF(A70&gt;$B$5+$B$6+$B$7,0,IF(A70+1&gt;$B$5+$B$6+$B$7,0,IF(A70&gt;$B$6+$B$7,$B$13/S71,IF(A70&gt;=$B$6,$B$13*$B$15/S71,($B$13*$B$15+$B$12)/S71))))</f>
        <v/>
      </c>
      <c r="W70" s="29">
        <f>IF(A70&gt;$B$5+$B$6+$B$7,0,IF(A70=$B$6,-$M$8*$B$12,0))</f>
        <v/>
      </c>
      <c r="X70" s="29">
        <f>IF(A70&gt;$B$5+$B$6+$B$7,0,V70/(U70-T70*X69))</f>
        <v/>
      </c>
      <c r="Y70" s="29">
        <f>IF(A70&gt;$B$5+$B$6+$B$7,0,(W70-T70*Y69)/(U70-T70*X69))</f>
        <v/>
      </c>
      <c r="Z70" s="30">
        <f>IF(A70&gt;$B$5+$B$6+$B$7,0,Y70-X70*Z71)</f>
        <v/>
      </c>
      <c r="AA70" s="29">
        <f>IF(A70&gt;$B$5+$B$6+$B$7,0,IF(A70&lt;=$B$6,$H$9*$B$9^$I$9,IF(A70&lt;=$B$6+$B$7,$H$9*$B$10^$I$9,$H$9*$B$11^$I$9)))</f>
        <v/>
      </c>
      <c r="AB70" s="29">
        <f>IF(A70&gt;$B$5+$B$6+$B$7,0,IF(A70=1,0,$B$14))</f>
        <v/>
      </c>
      <c r="AC70" s="29">
        <f>IF(A70&gt;$B$5+$B$6+$B$7,0,IF(A70&gt;$B$6+$B$7,-$B$14-$B$13/AA70,IF(A70&gt;$B$6,-$B$14-$B$13*$B$15/AA70,-$B$14-($B$13*$B$15+$B$12)/AA70)))</f>
        <v/>
      </c>
      <c r="AD70" s="29">
        <f>IF(A70&gt;$B$5+$B$6+$B$7,0,IF(A70+1&gt;$B$5+$B$6+$B$7,0,IF(A70&gt;$B$6+$B$7,$B$13/AA71,IF(A70&gt;=$B$6,$B$13*$B$15/AA71,($B$13*$B$15+$B$12)/AA71))))</f>
        <v/>
      </c>
      <c r="AE70" s="29">
        <f>IF(A70&gt;$B$5+$B$6+$B$7,0,IF(A70=$B$6,-$M$9*$B$12,0))</f>
        <v/>
      </c>
      <c r="AF70" s="29">
        <f>IF(A70&gt;$B$5+$B$6+$B$7,0,AD70/(AC70-AB70*AF69))</f>
        <v/>
      </c>
      <c r="AG70" s="29">
        <f>IF(A70&gt;$B$5+$B$6+$B$7,0,(AE70-AB70*AG69)/(AC70-AB70*AF69))</f>
        <v/>
      </c>
      <c r="AH70" s="30">
        <f>IF(A70&gt;$B$5+$B$6+$B$7,0,AG70-AF70*AH71)</f>
        <v/>
      </c>
      <c r="AI70" s="31">
        <f>IF(A70&gt;$B$5+$B$6+$B$7,0,IF(C70&lt;&gt;0,J70/C70,0))</f>
        <v/>
      </c>
      <c r="AJ70" s="31">
        <f>IF(A70&gt;$B$5+$B$6+$B$7,0,IF(K70&lt;&gt;0,R70/K70,0))</f>
        <v/>
      </c>
      <c r="AK70" s="31">
        <f>IF(A70&gt;$B$5+$B$6+$B$7,0,IF(S70&lt;&gt;0,Z70/S70,0))</f>
        <v/>
      </c>
      <c r="AL70" s="31">
        <f>IF(A70&gt;$B$5+$B$6+$B$7,0,IF(AA70&lt;&gt;0,AH70/AA70,0))</f>
        <v/>
      </c>
      <c r="AM70" s="30">
        <f>J70+R70+Z70+AH70</f>
        <v/>
      </c>
      <c r="AN70" s="30">
        <f>AI70+AJ70+AK70+AL70</f>
        <v/>
      </c>
    </row>
    <row r="71">
      <c r="A71" s="27" t="n">
        <v>52</v>
      </c>
      <c r="B71" s="28">
        <f>IF(A71&gt;$B$5+$B$6+$B$7,"—",IF(A71&lt;=$B$6,"Extraction",IF(A71&lt;=$B$6+$B$7,"Scrub","Strip")))</f>
        <v/>
      </c>
      <c r="C71" s="29">
        <f>IF(A71&gt;$B$5+$B$6+$B$7,0,IF(A71&lt;=$B$6,$H$6*$B$9^$I$6,IF(A71&lt;=$B$6+$B$7,$H$6*$B$10^$I$6,$H$6*$B$11^$I$6)))</f>
        <v/>
      </c>
      <c r="D71" s="29">
        <f>IF(A71&gt;$B$5+$B$6+$B$7,0,IF(A71=1,0,$B$14))</f>
        <v/>
      </c>
      <c r="E71" s="29">
        <f>IF(A71&gt;$B$5+$B$6+$B$7,0,IF(A71&gt;$B$6+$B$7,-$B$14-$B$13/C71,IF(A71&gt;$B$6,-$B$14-$B$13*$B$15/C71,-$B$14-($B$13*$B$15+$B$12)/C71)))</f>
        <v/>
      </c>
      <c r="F71" s="29">
        <f>IF(A71&gt;$B$5+$B$6+$B$7,0,IF(A71+1&gt;$B$5+$B$6+$B$7,0,IF(A71&gt;$B$6+$B$7,$B$13/C72,IF(A71&gt;=$B$6,$B$13*$B$15/C72,($B$13*$B$15+$B$12)/C72))))</f>
        <v/>
      </c>
      <c r="G71" s="29">
        <f>IF(A71&gt;$B$5+$B$6+$B$7,0,IF(A71=$B$6,-$M$6*$B$12,0))</f>
        <v/>
      </c>
      <c r="H71" s="29">
        <f>IF(A71&gt;$B$5+$B$6+$B$7,0,F71/(E71-D71*H70))</f>
        <v/>
      </c>
      <c r="I71" s="29">
        <f>IF(A71&gt;$B$5+$B$6+$B$7,0,(G71-D71*I70)/(E71-D71*H70))</f>
        <v/>
      </c>
      <c r="J71" s="30">
        <f>IF(A71&gt;$B$5+$B$6+$B$7,0,I71-H71*J72)</f>
        <v/>
      </c>
      <c r="K71" s="29">
        <f>IF(A71&gt;$B$5+$B$6+$B$7,0,IF(A71&lt;=$B$6,$H$7*$B$9^$I$7,IF(A71&lt;=$B$6+$B$7,$H$7*$B$10^$I$7,$H$7*$B$11^$I$7)))</f>
        <v/>
      </c>
      <c r="L71" s="29">
        <f>IF(A71&gt;$B$5+$B$6+$B$7,0,IF(A71=1,0,$B$14))</f>
        <v/>
      </c>
      <c r="M71" s="29">
        <f>IF(A71&gt;$B$5+$B$6+$B$7,0,IF(A71&gt;$B$6+$B$7,-$B$14-$B$13/K71,IF(A71&gt;$B$6,-$B$14-$B$13*$B$15/K71,-$B$14-($B$13*$B$15+$B$12)/K71)))</f>
        <v/>
      </c>
      <c r="N71" s="29">
        <f>IF(A71&gt;$B$5+$B$6+$B$7,0,IF(A71+1&gt;$B$5+$B$6+$B$7,0,IF(A71&gt;$B$6+$B$7,$B$13/K72,IF(A71&gt;=$B$6,$B$13*$B$15/K72,($B$13*$B$15+$B$12)/K72))))</f>
        <v/>
      </c>
      <c r="O71" s="29">
        <f>IF(A71&gt;$B$5+$B$6+$B$7,0,IF(A71=$B$6,-$M$7*$B$12,0))</f>
        <v/>
      </c>
      <c r="P71" s="29">
        <f>IF(A71&gt;$B$5+$B$6+$B$7,0,N71/(M71-L71*P70))</f>
        <v/>
      </c>
      <c r="Q71" s="29">
        <f>IF(A71&gt;$B$5+$B$6+$B$7,0,(O71-L71*Q70)/(M71-L71*P70))</f>
        <v/>
      </c>
      <c r="R71" s="30">
        <f>IF(A71&gt;$B$5+$B$6+$B$7,0,Q71-P71*R72)</f>
        <v/>
      </c>
      <c r="S71" s="29">
        <f>IF(A71&gt;$B$5+$B$6+$B$7,0,IF(A71&lt;=$B$6,$H$8*$B$9^$I$8,IF(A71&lt;=$B$6+$B$7,$H$8*$B$10^$I$8,$H$8*$B$11^$I$8)))</f>
        <v/>
      </c>
      <c r="T71" s="29">
        <f>IF(A71&gt;$B$5+$B$6+$B$7,0,IF(A71=1,0,$B$14))</f>
        <v/>
      </c>
      <c r="U71" s="29">
        <f>IF(A71&gt;$B$5+$B$6+$B$7,0,IF(A71&gt;$B$6+$B$7,-$B$14-$B$13/S71,IF(A71&gt;$B$6,-$B$14-$B$13*$B$15/S71,-$B$14-($B$13*$B$15+$B$12)/S71)))</f>
        <v/>
      </c>
      <c r="V71" s="29">
        <f>IF(A71&gt;$B$5+$B$6+$B$7,0,IF(A71+1&gt;$B$5+$B$6+$B$7,0,IF(A71&gt;$B$6+$B$7,$B$13/S72,IF(A71&gt;=$B$6,$B$13*$B$15/S72,($B$13*$B$15+$B$12)/S72))))</f>
        <v/>
      </c>
      <c r="W71" s="29">
        <f>IF(A71&gt;$B$5+$B$6+$B$7,0,IF(A71=$B$6,-$M$8*$B$12,0))</f>
        <v/>
      </c>
      <c r="X71" s="29">
        <f>IF(A71&gt;$B$5+$B$6+$B$7,0,V71/(U71-T71*X70))</f>
        <v/>
      </c>
      <c r="Y71" s="29">
        <f>IF(A71&gt;$B$5+$B$6+$B$7,0,(W71-T71*Y70)/(U71-T71*X70))</f>
        <v/>
      </c>
      <c r="Z71" s="30">
        <f>IF(A71&gt;$B$5+$B$6+$B$7,0,Y71-X71*Z72)</f>
        <v/>
      </c>
      <c r="AA71" s="29">
        <f>IF(A71&gt;$B$5+$B$6+$B$7,0,IF(A71&lt;=$B$6,$H$9*$B$9^$I$9,IF(A71&lt;=$B$6+$B$7,$H$9*$B$10^$I$9,$H$9*$B$11^$I$9)))</f>
        <v/>
      </c>
      <c r="AB71" s="29">
        <f>IF(A71&gt;$B$5+$B$6+$B$7,0,IF(A71=1,0,$B$14))</f>
        <v/>
      </c>
      <c r="AC71" s="29">
        <f>IF(A71&gt;$B$5+$B$6+$B$7,0,IF(A71&gt;$B$6+$B$7,-$B$14-$B$13/AA71,IF(A71&gt;$B$6,-$B$14-$B$13*$B$15/AA71,-$B$14-($B$13*$B$15+$B$12)/AA71)))</f>
        <v/>
      </c>
      <c r="AD71" s="29">
        <f>IF(A71&gt;$B$5+$B$6+$B$7,0,IF(A71+1&gt;$B$5+$B$6+$B$7,0,IF(A71&gt;$B$6+$B$7,$B$13/AA72,IF(A71&gt;=$B$6,$B$13*$B$15/AA72,($B$13*$B$15+$B$12)/AA72))))</f>
        <v/>
      </c>
      <c r="AE71" s="29">
        <f>IF(A71&gt;$B$5+$B$6+$B$7,0,IF(A71=$B$6,-$M$9*$B$12,0))</f>
        <v/>
      </c>
      <c r="AF71" s="29">
        <f>IF(A71&gt;$B$5+$B$6+$B$7,0,AD71/(AC71-AB71*AF70))</f>
        <v/>
      </c>
      <c r="AG71" s="29">
        <f>IF(A71&gt;$B$5+$B$6+$B$7,0,(AE71-AB71*AG70)/(AC71-AB71*AF70))</f>
        <v/>
      </c>
      <c r="AH71" s="30">
        <f>IF(A71&gt;$B$5+$B$6+$B$7,0,AG71-AF71*AH72)</f>
        <v/>
      </c>
      <c r="AI71" s="31">
        <f>IF(A71&gt;$B$5+$B$6+$B$7,0,IF(C71&lt;&gt;0,J71/C71,0))</f>
        <v/>
      </c>
      <c r="AJ71" s="31">
        <f>IF(A71&gt;$B$5+$B$6+$B$7,0,IF(K71&lt;&gt;0,R71/K71,0))</f>
        <v/>
      </c>
      <c r="AK71" s="31">
        <f>IF(A71&gt;$B$5+$B$6+$B$7,0,IF(S71&lt;&gt;0,Z71/S71,0))</f>
        <v/>
      </c>
      <c r="AL71" s="31">
        <f>IF(A71&gt;$B$5+$B$6+$B$7,0,IF(AA71&lt;&gt;0,AH71/AA71,0))</f>
        <v/>
      </c>
      <c r="AM71" s="30">
        <f>J71+R71+Z71+AH71</f>
        <v/>
      </c>
      <c r="AN71" s="30">
        <f>AI71+AJ71+AK71+AL71</f>
        <v/>
      </c>
    </row>
    <row r="72">
      <c r="A72" s="27" t="n">
        <v>53</v>
      </c>
      <c r="B72" s="28">
        <f>IF(A72&gt;$B$5+$B$6+$B$7,"—",IF(A72&lt;=$B$6,"Extraction",IF(A72&lt;=$B$6+$B$7,"Scrub","Strip")))</f>
        <v/>
      </c>
      <c r="C72" s="29">
        <f>IF(A72&gt;$B$5+$B$6+$B$7,0,IF(A72&lt;=$B$6,$H$6*$B$9^$I$6,IF(A72&lt;=$B$6+$B$7,$H$6*$B$10^$I$6,$H$6*$B$11^$I$6)))</f>
        <v/>
      </c>
      <c r="D72" s="29">
        <f>IF(A72&gt;$B$5+$B$6+$B$7,0,IF(A72=1,0,$B$14))</f>
        <v/>
      </c>
      <c r="E72" s="29">
        <f>IF(A72&gt;$B$5+$B$6+$B$7,0,IF(A72&gt;$B$6+$B$7,-$B$14-$B$13/C72,IF(A72&gt;$B$6,-$B$14-$B$13*$B$15/C72,-$B$14-($B$13*$B$15+$B$12)/C72)))</f>
        <v/>
      </c>
      <c r="F72" s="29">
        <f>IF(A72&gt;$B$5+$B$6+$B$7,0,IF(A72+1&gt;$B$5+$B$6+$B$7,0,IF(A72&gt;$B$6+$B$7,$B$13/C73,IF(A72&gt;=$B$6,$B$13*$B$15/C73,($B$13*$B$15+$B$12)/C73))))</f>
        <v/>
      </c>
      <c r="G72" s="29">
        <f>IF(A72&gt;$B$5+$B$6+$B$7,0,IF(A72=$B$6,-$M$6*$B$12,0))</f>
        <v/>
      </c>
      <c r="H72" s="29">
        <f>IF(A72&gt;$B$5+$B$6+$B$7,0,F72/(E72-D72*H71))</f>
        <v/>
      </c>
      <c r="I72" s="29">
        <f>IF(A72&gt;$B$5+$B$6+$B$7,0,(G72-D72*I71)/(E72-D72*H71))</f>
        <v/>
      </c>
      <c r="J72" s="30">
        <f>IF(A72&gt;$B$5+$B$6+$B$7,0,I72-H72*J73)</f>
        <v/>
      </c>
      <c r="K72" s="29">
        <f>IF(A72&gt;$B$5+$B$6+$B$7,0,IF(A72&lt;=$B$6,$H$7*$B$9^$I$7,IF(A72&lt;=$B$6+$B$7,$H$7*$B$10^$I$7,$H$7*$B$11^$I$7)))</f>
        <v/>
      </c>
      <c r="L72" s="29">
        <f>IF(A72&gt;$B$5+$B$6+$B$7,0,IF(A72=1,0,$B$14))</f>
        <v/>
      </c>
      <c r="M72" s="29">
        <f>IF(A72&gt;$B$5+$B$6+$B$7,0,IF(A72&gt;$B$6+$B$7,-$B$14-$B$13/K72,IF(A72&gt;$B$6,-$B$14-$B$13*$B$15/K72,-$B$14-($B$13*$B$15+$B$12)/K72)))</f>
        <v/>
      </c>
      <c r="N72" s="29">
        <f>IF(A72&gt;$B$5+$B$6+$B$7,0,IF(A72+1&gt;$B$5+$B$6+$B$7,0,IF(A72&gt;$B$6+$B$7,$B$13/K73,IF(A72&gt;=$B$6,$B$13*$B$15/K73,($B$13*$B$15+$B$12)/K73))))</f>
        <v/>
      </c>
      <c r="O72" s="29">
        <f>IF(A72&gt;$B$5+$B$6+$B$7,0,IF(A72=$B$6,-$M$7*$B$12,0))</f>
        <v/>
      </c>
      <c r="P72" s="29">
        <f>IF(A72&gt;$B$5+$B$6+$B$7,0,N72/(M72-L72*P71))</f>
        <v/>
      </c>
      <c r="Q72" s="29">
        <f>IF(A72&gt;$B$5+$B$6+$B$7,0,(O72-L72*Q71)/(M72-L72*P71))</f>
        <v/>
      </c>
      <c r="R72" s="30">
        <f>IF(A72&gt;$B$5+$B$6+$B$7,0,Q72-P72*R73)</f>
        <v/>
      </c>
      <c r="S72" s="29">
        <f>IF(A72&gt;$B$5+$B$6+$B$7,0,IF(A72&lt;=$B$6,$H$8*$B$9^$I$8,IF(A72&lt;=$B$6+$B$7,$H$8*$B$10^$I$8,$H$8*$B$11^$I$8)))</f>
        <v/>
      </c>
      <c r="T72" s="29">
        <f>IF(A72&gt;$B$5+$B$6+$B$7,0,IF(A72=1,0,$B$14))</f>
        <v/>
      </c>
      <c r="U72" s="29">
        <f>IF(A72&gt;$B$5+$B$6+$B$7,0,IF(A72&gt;$B$6+$B$7,-$B$14-$B$13/S72,IF(A72&gt;$B$6,-$B$14-$B$13*$B$15/S72,-$B$14-($B$13*$B$15+$B$12)/S72)))</f>
        <v/>
      </c>
      <c r="V72" s="29">
        <f>IF(A72&gt;$B$5+$B$6+$B$7,0,IF(A72+1&gt;$B$5+$B$6+$B$7,0,IF(A72&gt;$B$6+$B$7,$B$13/S73,IF(A72&gt;=$B$6,$B$13*$B$15/S73,($B$13*$B$15+$B$12)/S73))))</f>
        <v/>
      </c>
      <c r="W72" s="29">
        <f>IF(A72&gt;$B$5+$B$6+$B$7,0,IF(A72=$B$6,-$M$8*$B$12,0))</f>
        <v/>
      </c>
      <c r="X72" s="29">
        <f>IF(A72&gt;$B$5+$B$6+$B$7,0,V72/(U72-T72*X71))</f>
        <v/>
      </c>
      <c r="Y72" s="29">
        <f>IF(A72&gt;$B$5+$B$6+$B$7,0,(W72-T72*Y71)/(U72-T72*X71))</f>
        <v/>
      </c>
      <c r="Z72" s="30">
        <f>IF(A72&gt;$B$5+$B$6+$B$7,0,Y72-X72*Z73)</f>
        <v/>
      </c>
      <c r="AA72" s="29">
        <f>IF(A72&gt;$B$5+$B$6+$B$7,0,IF(A72&lt;=$B$6,$H$9*$B$9^$I$9,IF(A72&lt;=$B$6+$B$7,$H$9*$B$10^$I$9,$H$9*$B$11^$I$9)))</f>
        <v/>
      </c>
      <c r="AB72" s="29">
        <f>IF(A72&gt;$B$5+$B$6+$B$7,0,IF(A72=1,0,$B$14))</f>
        <v/>
      </c>
      <c r="AC72" s="29">
        <f>IF(A72&gt;$B$5+$B$6+$B$7,0,IF(A72&gt;$B$6+$B$7,-$B$14-$B$13/AA72,IF(A72&gt;$B$6,-$B$14-$B$13*$B$15/AA72,-$B$14-($B$13*$B$15+$B$12)/AA72)))</f>
        <v/>
      </c>
      <c r="AD72" s="29">
        <f>IF(A72&gt;$B$5+$B$6+$B$7,0,IF(A72+1&gt;$B$5+$B$6+$B$7,0,IF(A72&gt;$B$6+$B$7,$B$13/AA73,IF(A72&gt;=$B$6,$B$13*$B$15/AA73,($B$13*$B$15+$B$12)/AA73))))</f>
        <v/>
      </c>
      <c r="AE72" s="29">
        <f>IF(A72&gt;$B$5+$B$6+$B$7,0,IF(A72=$B$6,-$M$9*$B$12,0))</f>
        <v/>
      </c>
      <c r="AF72" s="29">
        <f>IF(A72&gt;$B$5+$B$6+$B$7,0,AD72/(AC72-AB72*AF71))</f>
        <v/>
      </c>
      <c r="AG72" s="29">
        <f>IF(A72&gt;$B$5+$B$6+$B$7,0,(AE72-AB72*AG71)/(AC72-AB72*AF71))</f>
        <v/>
      </c>
      <c r="AH72" s="30">
        <f>IF(A72&gt;$B$5+$B$6+$B$7,0,AG72-AF72*AH73)</f>
        <v/>
      </c>
      <c r="AI72" s="31">
        <f>IF(A72&gt;$B$5+$B$6+$B$7,0,IF(C72&lt;&gt;0,J72/C72,0))</f>
        <v/>
      </c>
      <c r="AJ72" s="31">
        <f>IF(A72&gt;$B$5+$B$6+$B$7,0,IF(K72&lt;&gt;0,R72/K72,0))</f>
        <v/>
      </c>
      <c r="AK72" s="31">
        <f>IF(A72&gt;$B$5+$B$6+$B$7,0,IF(S72&lt;&gt;0,Z72/S72,0))</f>
        <v/>
      </c>
      <c r="AL72" s="31">
        <f>IF(A72&gt;$B$5+$B$6+$B$7,0,IF(AA72&lt;&gt;0,AH72/AA72,0))</f>
        <v/>
      </c>
      <c r="AM72" s="30">
        <f>J72+R72+Z72+AH72</f>
        <v/>
      </c>
      <c r="AN72" s="30">
        <f>AI72+AJ72+AK72+AL72</f>
        <v/>
      </c>
    </row>
    <row r="73">
      <c r="A73" s="27" t="n">
        <v>54</v>
      </c>
      <c r="B73" s="28">
        <f>IF(A73&gt;$B$5+$B$6+$B$7,"—",IF(A73&lt;=$B$6,"Extraction",IF(A73&lt;=$B$6+$B$7,"Scrub","Strip")))</f>
        <v/>
      </c>
      <c r="C73" s="29">
        <f>IF(A73&gt;$B$5+$B$6+$B$7,0,IF(A73&lt;=$B$6,$H$6*$B$9^$I$6,IF(A73&lt;=$B$6+$B$7,$H$6*$B$10^$I$6,$H$6*$B$11^$I$6)))</f>
        <v/>
      </c>
      <c r="D73" s="29">
        <f>IF(A73&gt;$B$5+$B$6+$B$7,0,IF(A73=1,0,$B$14))</f>
        <v/>
      </c>
      <c r="E73" s="29">
        <f>IF(A73&gt;$B$5+$B$6+$B$7,0,IF(A73&gt;$B$6+$B$7,-$B$14-$B$13/C73,IF(A73&gt;$B$6,-$B$14-$B$13*$B$15/C73,-$B$14-($B$13*$B$15+$B$12)/C73)))</f>
        <v/>
      </c>
      <c r="F73" s="29">
        <f>IF(A73&gt;$B$5+$B$6+$B$7,0,IF(A73+1&gt;$B$5+$B$6+$B$7,0,IF(A73&gt;$B$6+$B$7,$B$13/C74,IF(A73&gt;=$B$6,$B$13*$B$15/C74,($B$13*$B$15+$B$12)/C74))))</f>
        <v/>
      </c>
      <c r="G73" s="29">
        <f>IF(A73&gt;$B$5+$B$6+$B$7,0,IF(A73=$B$6,-$M$6*$B$12,0))</f>
        <v/>
      </c>
      <c r="H73" s="29">
        <f>IF(A73&gt;$B$5+$B$6+$B$7,0,F73/(E73-D73*H72))</f>
        <v/>
      </c>
      <c r="I73" s="29">
        <f>IF(A73&gt;$B$5+$B$6+$B$7,0,(G73-D73*I72)/(E73-D73*H72))</f>
        <v/>
      </c>
      <c r="J73" s="30">
        <f>IF(A73&gt;$B$5+$B$6+$B$7,0,I73-H73*J74)</f>
        <v/>
      </c>
      <c r="K73" s="29">
        <f>IF(A73&gt;$B$5+$B$6+$B$7,0,IF(A73&lt;=$B$6,$H$7*$B$9^$I$7,IF(A73&lt;=$B$6+$B$7,$H$7*$B$10^$I$7,$H$7*$B$11^$I$7)))</f>
        <v/>
      </c>
      <c r="L73" s="29">
        <f>IF(A73&gt;$B$5+$B$6+$B$7,0,IF(A73=1,0,$B$14))</f>
        <v/>
      </c>
      <c r="M73" s="29">
        <f>IF(A73&gt;$B$5+$B$6+$B$7,0,IF(A73&gt;$B$6+$B$7,-$B$14-$B$13/K73,IF(A73&gt;$B$6,-$B$14-$B$13*$B$15/K73,-$B$14-($B$13*$B$15+$B$12)/K73)))</f>
        <v/>
      </c>
      <c r="N73" s="29">
        <f>IF(A73&gt;$B$5+$B$6+$B$7,0,IF(A73+1&gt;$B$5+$B$6+$B$7,0,IF(A73&gt;$B$6+$B$7,$B$13/K74,IF(A73&gt;=$B$6,$B$13*$B$15/K74,($B$13*$B$15+$B$12)/K74))))</f>
        <v/>
      </c>
      <c r="O73" s="29">
        <f>IF(A73&gt;$B$5+$B$6+$B$7,0,IF(A73=$B$6,-$M$7*$B$12,0))</f>
        <v/>
      </c>
      <c r="P73" s="29">
        <f>IF(A73&gt;$B$5+$B$6+$B$7,0,N73/(M73-L73*P72))</f>
        <v/>
      </c>
      <c r="Q73" s="29">
        <f>IF(A73&gt;$B$5+$B$6+$B$7,0,(O73-L73*Q72)/(M73-L73*P72))</f>
        <v/>
      </c>
      <c r="R73" s="30">
        <f>IF(A73&gt;$B$5+$B$6+$B$7,0,Q73-P73*R74)</f>
        <v/>
      </c>
      <c r="S73" s="29">
        <f>IF(A73&gt;$B$5+$B$6+$B$7,0,IF(A73&lt;=$B$6,$H$8*$B$9^$I$8,IF(A73&lt;=$B$6+$B$7,$H$8*$B$10^$I$8,$H$8*$B$11^$I$8)))</f>
        <v/>
      </c>
      <c r="T73" s="29">
        <f>IF(A73&gt;$B$5+$B$6+$B$7,0,IF(A73=1,0,$B$14))</f>
        <v/>
      </c>
      <c r="U73" s="29">
        <f>IF(A73&gt;$B$5+$B$6+$B$7,0,IF(A73&gt;$B$6+$B$7,-$B$14-$B$13/S73,IF(A73&gt;$B$6,-$B$14-$B$13*$B$15/S73,-$B$14-($B$13*$B$15+$B$12)/S73)))</f>
        <v/>
      </c>
      <c r="V73" s="29">
        <f>IF(A73&gt;$B$5+$B$6+$B$7,0,IF(A73+1&gt;$B$5+$B$6+$B$7,0,IF(A73&gt;$B$6+$B$7,$B$13/S74,IF(A73&gt;=$B$6,$B$13*$B$15/S74,($B$13*$B$15+$B$12)/S74))))</f>
        <v/>
      </c>
      <c r="W73" s="29">
        <f>IF(A73&gt;$B$5+$B$6+$B$7,0,IF(A73=$B$6,-$M$8*$B$12,0))</f>
        <v/>
      </c>
      <c r="X73" s="29">
        <f>IF(A73&gt;$B$5+$B$6+$B$7,0,V73/(U73-T73*X72))</f>
        <v/>
      </c>
      <c r="Y73" s="29">
        <f>IF(A73&gt;$B$5+$B$6+$B$7,0,(W73-T73*Y72)/(U73-T73*X72))</f>
        <v/>
      </c>
      <c r="Z73" s="30">
        <f>IF(A73&gt;$B$5+$B$6+$B$7,0,Y73-X73*Z74)</f>
        <v/>
      </c>
      <c r="AA73" s="29">
        <f>IF(A73&gt;$B$5+$B$6+$B$7,0,IF(A73&lt;=$B$6,$H$9*$B$9^$I$9,IF(A73&lt;=$B$6+$B$7,$H$9*$B$10^$I$9,$H$9*$B$11^$I$9)))</f>
        <v/>
      </c>
      <c r="AB73" s="29">
        <f>IF(A73&gt;$B$5+$B$6+$B$7,0,IF(A73=1,0,$B$14))</f>
        <v/>
      </c>
      <c r="AC73" s="29">
        <f>IF(A73&gt;$B$5+$B$6+$B$7,0,IF(A73&gt;$B$6+$B$7,-$B$14-$B$13/AA73,IF(A73&gt;$B$6,-$B$14-$B$13*$B$15/AA73,-$B$14-($B$13*$B$15+$B$12)/AA73)))</f>
        <v/>
      </c>
      <c r="AD73" s="29">
        <f>IF(A73&gt;$B$5+$B$6+$B$7,0,IF(A73+1&gt;$B$5+$B$6+$B$7,0,IF(A73&gt;$B$6+$B$7,$B$13/AA74,IF(A73&gt;=$B$6,$B$13*$B$15/AA74,($B$13*$B$15+$B$12)/AA74))))</f>
        <v/>
      </c>
      <c r="AE73" s="29">
        <f>IF(A73&gt;$B$5+$B$6+$B$7,0,IF(A73=$B$6,-$M$9*$B$12,0))</f>
        <v/>
      </c>
      <c r="AF73" s="29">
        <f>IF(A73&gt;$B$5+$B$6+$B$7,0,AD73/(AC73-AB73*AF72))</f>
        <v/>
      </c>
      <c r="AG73" s="29">
        <f>IF(A73&gt;$B$5+$B$6+$B$7,0,(AE73-AB73*AG72)/(AC73-AB73*AF72))</f>
        <v/>
      </c>
      <c r="AH73" s="30">
        <f>IF(A73&gt;$B$5+$B$6+$B$7,0,AG73-AF73*AH74)</f>
        <v/>
      </c>
      <c r="AI73" s="31">
        <f>IF(A73&gt;$B$5+$B$6+$B$7,0,IF(C73&lt;&gt;0,J73/C73,0))</f>
        <v/>
      </c>
      <c r="AJ73" s="31">
        <f>IF(A73&gt;$B$5+$B$6+$B$7,0,IF(K73&lt;&gt;0,R73/K73,0))</f>
        <v/>
      </c>
      <c r="AK73" s="31">
        <f>IF(A73&gt;$B$5+$B$6+$B$7,0,IF(S73&lt;&gt;0,Z73/S73,0))</f>
        <v/>
      </c>
      <c r="AL73" s="31">
        <f>IF(A73&gt;$B$5+$B$6+$B$7,0,IF(AA73&lt;&gt;0,AH73/AA73,0))</f>
        <v/>
      </c>
      <c r="AM73" s="30">
        <f>J73+R73+Z73+AH73</f>
        <v/>
      </c>
      <c r="AN73" s="30">
        <f>AI73+AJ73+AK73+AL73</f>
        <v/>
      </c>
    </row>
    <row r="74">
      <c r="A74" s="27" t="n">
        <v>55</v>
      </c>
      <c r="B74" s="28">
        <f>IF(A74&gt;$B$5+$B$6+$B$7,"—",IF(A74&lt;=$B$6,"Extraction",IF(A74&lt;=$B$6+$B$7,"Scrub","Strip")))</f>
        <v/>
      </c>
      <c r="C74" s="29">
        <f>IF(A74&gt;$B$5+$B$6+$B$7,0,IF(A74&lt;=$B$6,$H$6*$B$9^$I$6,IF(A74&lt;=$B$6+$B$7,$H$6*$B$10^$I$6,$H$6*$B$11^$I$6)))</f>
        <v/>
      </c>
      <c r="D74" s="29">
        <f>IF(A74&gt;$B$5+$B$6+$B$7,0,IF(A74=1,0,$B$14))</f>
        <v/>
      </c>
      <c r="E74" s="29">
        <f>IF(A74&gt;$B$5+$B$6+$B$7,0,IF(A74&gt;$B$6+$B$7,-$B$14-$B$13/C74,IF(A74&gt;$B$6,-$B$14-$B$13*$B$15/C74,-$B$14-($B$13*$B$15+$B$12)/C74)))</f>
        <v/>
      </c>
      <c r="F74" s="29">
        <f>IF(A74&gt;$B$5+$B$6+$B$7,0,IF(A74+1&gt;$B$5+$B$6+$B$7,0,IF(A74&gt;$B$6+$B$7,$B$13/C75,IF(A74&gt;=$B$6,$B$13*$B$15/C75,($B$13*$B$15+$B$12)/C75))))</f>
        <v/>
      </c>
      <c r="G74" s="29">
        <f>IF(A74&gt;$B$5+$B$6+$B$7,0,IF(A74=$B$6,-$M$6*$B$12,0))</f>
        <v/>
      </c>
      <c r="H74" s="29">
        <f>IF(A74&gt;$B$5+$B$6+$B$7,0,F74/(E74-D74*H73))</f>
        <v/>
      </c>
      <c r="I74" s="29">
        <f>IF(A74&gt;$B$5+$B$6+$B$7,0,(G74-D74*I73)/(E74-D74*H73))</f>
        <v/>
      </c>
      <c r="J74" s="30">
        <f>IF(A74&gt;$B$5+$B$6+$B$7,0,I74-H74*J75)</f>
        <v/>
      </c>
      <c r="K74" s="29">
        <f>IF(A74&gt;$B$5+$B$6+$B$7,0,IF(A74&lt;=$B$6,$H$7*$B$9^$I$7,IF(A74&lt;=$B$6+$B$7,$H$7*$B$10^$I$7,$H$7*$B$11^$I$7)))</f>
        <v/>
      </c>
      <c r="L74" s="29">
        <f>IF(A74&gt;$B$5+$B$6+$B$7,0,IF(A74=1,0,$B$14))</f>
        <v/>
      </c>
      <c r="M74" s="29">
        <f>IF(A74&gt;$B$5+$B$6+$B$7,0,IF(A74&gt;$B$6+$B$7,-$B$14-$B$13/K74,IF(A74&gt;$B$6,-$B$14-$B$13*$B$15/K74,-$B$14-($B$13*$B$15+$B$12)/K74)))</f>
        <v/>
      </c>
      <c r="N74" s="29">
        <f>IF(A74&gt;$B$5+$B$6+$B$7,0,IF(A74+1&gt;$B$5+$B$6+$B$7,0,IF(A74&gt;$B$6+$B$7,$B$13/K75,IF(A74&gt;=$B$6,$B$13*$B$15/K75,($B$13*$B$15+$B$12)/K75))))</f>
        <v/>
      </c>
      <c r="O74" s="29">
        <f>IF(A74&gt;$B$5+$B$6+$B$7,0,IF(A74=$B$6,-$M$7*$B$12,0))</f>
        <v/>
      </c>
      <c r="P74" s="29">
        <f>IF(A74&gt;$B$5+$B$6+$B$7,0,N74/(M74-L74*P73))</f>
        <v/>
      </c>
      <c r="Q74" s="29">
        <f>IF(A74&gt;$B$5+$B$6+$B$7,0,(O74-L74*Q73)/(M74-L74*P73))</f>
        <v/>
      </c>
      <c r="R74" s="30">
        <f>IF(A74&gt;$B$5+$B$6+$B$7,0,Q74-P74*R75)</f>
        <v/>
      </c>
      <c r="S74" s="29">
        <f>IF(A74&gt;$B$5+$B$6+$B$7,0,IF(A74&lt;=$B$6,$H$8*$B$9^$I$8,IF(A74&lt;=$B$6+$B$7,$H$8*$B$10^$I$8,$H$8*$B$11^$I$8)))</f>
        <v/>
      </c>
      <c r="T74" s="29">
        <f>IF(A74&gt;$B$5+$B$6+$B$7,0,IF(A74=1,0,$B$14))</f>
        <v/>
      </c>
      <c r="U74" s="29">
        <f>IF(A74&gt;$B$5+$B$6+$B$7,0,IF(A74&gt;$B$6+$B$7,-$B$14-$B$13/S74,IF(A74&gt;$B$6,-$B$14-$B$13*$B$15/S74,-$B$14-($B$13*$B$15+$B$12)/S74)))</f>
        <v/>
      </c>
      <c r="V74" s="29">
        <f>IF(A74&gt;$B$5+$B$6+$B$7,0,IF(A74+1&gt;$B$5+$B$6+$B$7,0,IF(A74&gt;$B$6+$B$7,$B$13/S75,IF(A74&gt;=$B$6,$B$13*$B$15/S75,($B$13*$B$15+$B$12)/S75))))</f>
        <v/>
      </c>
      <c r="W74" s="29">
        <f>IF(A74&gt;$B$5+$B$6+$B$7,0,IF(A74=$B$6,-$M$8*$B$12,0))</f>
        <v/>
      </c>
      <c r="X74" s="29">
        <f>IF(A74&gt;$B$5+$B$6+$B$7,0,V74/(U74-T74*X73))</f>
        <v/>
      </c>
      <c r="Y74" s="29">
        <f>IF(A74&gt;$B$5+$B$6+$B$7,0,(W74-T74*Y73)/(U74-T74*X73))</f>
        <v/>
      </c>
      <c r="Z74" s="30">
        <f>IF(A74&gt;$B$5+$B$6+$B$7,0,Y74-X74*Z75)</f>
        <v/>
      </c>
      <c r="AA74" s="29">
        <f>IF(A74&gt;$B$5+$B$6+$B$7,0,IF(A74&lt;=$B$6,$H$9*$B$9^$I$9,IF(A74&lt;=$B$6+$B$7,$H$9*$B$10^$I$9,$H$9*$B$11^$I$9)))</f>
        <v/>
      </c>
      <c r="AB74" s="29">
        <f>IF(A74&gt;$B$5+$B$6+$B$7,0,IF(A74=1,0,$B$14))</f>
        <v/>
      </c>
      <c r="AC74" s="29">
        <f>IF(A74&gt;$B$5+$B$6+$B$7,0,IF(A74&gt;$B$6+$B$7,-$B$14-$B$13/AA74,IF(A74&gt;$B$6,-$B$14-$B$13*$B$15/AA74,-$B$14-($B$13*$B$15+$B$12)/AA74)))</f>
        <v/>
      </c>
      <c r="AD74" s="29">
        <f>IF(A74&gt;$B$5+$B$6+$B$7,0,IF(A74+1&gt;$B$5+$B$6+$B$7,0,IF(A74&gt;$B$6+$B$7,$B$13/AA75,IF(A74&gt;=$B$6,$B$13*$B$15/AA75,($B$13*$B$15+$B$12)/AA75))))</f>
        <v/>
      </c>
      <c r="AE74" s="29">
        <f>IF(A74&gt;$B$5+$B$6+$B$7,0,IF(A74=$B$6,-$M$9*$B$12,0))</f>
        <v/>
      </c>
      <c r="AF74" s="29">
        <f>IF(A74&gt;$B$5+$B$6+$B$7,0,AD74/(AC74-AB74*AF73))</f>
        <v/>
      </c>
      <c r="AG74" s="29">
        <f>IF(A74&gt;$B$5+$B$6+$B$7,0,(AE74-AB74*AG73)/(AC74-AB74*AF73))</f>
        <v/>
      </c>
      <c r="AH74" s="30">
        <f>IF(A74&gt;$B$5+$B$6+$B$7,0,AG74-AF74*AH75)</f>
        <v/>
      </c>
      <c r="AI74" s="31">
        <f>IF(A74&gt;$B$5+$B$6+$B$7,0,IF(C74&lt;&gt;0,J74/C74,0))</f>
        <v/>
      </c>
      <c r="AJ74" s="31">
        <f>IF(A74&gt;$B$5+$B$6+$B$7,0,IF(K74&lt;&gt;0,R74/K74,0))</f>
        <v/>
      </c>
      <c r="AK74" s="31">
        <f>IF(A74&gt;$B$5+$B$6+$B$7,0,IF(S74&lt;&gt;0,Z74/S74,0))</f>
        <v/>
      </c>
      <c r="AL74" s="31">
        <f>IF(A74&gt;$B$5+$B$6+$B$7,0,IF(AA74&lt;&gt;0,AH74/AA74,0))</f>
        <v/>
      </c>
      <c r="AM74" s="30">
        <f>J74+R74+Z74+AH74</f>
        <v/>
      </c>
      <c r="AN74" s="30">
        <f>AI74+AJ74+AK74+AL74</f>
        <v/>
      </c>
    </row>
    <row r="75">
      <c r="A75" s="27" t="n">
        <v>56</v>
      </c>
      <c r="B75" s="28">
        <f>IF(A75&gt;$B$5+$B$6+$B$7,"—",IF(A75&lt;=$B$6,"Extraction",IF(A75&lt;=$B$6+$B$7,"Scrub","Strip")))</f>
        <v/>
      </c>
      <c r="C75" s="29">
        <f>IF(A75&gt;$B$5+$B$6+$B$7,0,IF(A75&lt;=$B$6,$H$6*$B$9^$I$6,IF(A75&lt;=$B$6+$B$7,$H$6*$B$10^$I$6,$H$6*$B$11^$I$6)))</f>
        <v/>
      </c>
      <c r="D75" s="29">
        <f>IF(A75&gt;$B$5+$B$6+$B$7,0,IF(A75=1,0,$B$14))</f>
        <v/>
      </c>
      <c r="E75" s="29">
        <f>IF(A75&gt;$B$5+$B$6+$B$7,0,IF(A75&gt;$B$6+$B$7,-$B$14-$B$13/C75,IF(A75&gt;$B$6,-$B$14-$B$13*$B$15/C75,-$B$14-($B$13*$B$15+$B$12)/C75)))</f>
        <v/>
      </c>
      <c r="F75" s="29">
        <f>IF(A75&gt;$B$5+$B$6+$B$7,0,IF(A75+1&gt;$B$5+$B$6+$B$7,0,IF(A75&gt;$B$6+$B$7,$B$13/C76,IF(A75&gt;=$B$6,$B$13*$B$15/C76,($B$13*$B$15+$B$12)/C76))))</f>
        <v/>
      </c>
      <c r="G75" s="29">
        <f>IF(A75&gt;$B$5+$B$6+$B$7,0,IF(A75=$B$6,-$M$6*$B$12,0))</f>
        <v/>
      </c>
      <c r="H75" s="29">
        <f>IF(A75&gt;$B$5+$B$6+$B$7,0,F75/(E75-D75*H74))</f>
        <v/>
      </c>
      <c r="I75" s="29">
        <f>IF(A75&gt;$B$5+$B$6+$B$7,0,(G75-D75*I74)/(E75-D75*H74))</f>
        <v/>
      </c>
      <c r="J75" s="30">
        <f>IF(A75&gt;$B$5+$B$6+$B$7,0,I75-H75*J76)</f>
        <v/>
      </c>
      <c r="K75" s="29">
        <f>IF(A75&gt;$B$5+$B$6+$B$7,0,IF(A75&lt;=$B$6,$H$7*$B$9^$I$7,IF(A75&lt;=$B$6+$B$7,$H$7*$B$10^$I$7,$H$7*$B$11^$I$7)))</f>
        <v/>
      </c>
      <c r="L75" s="29">
        <f>IF(A75&gt;$B$5+$B$6+$B$7,0,IF(A75=1,0,$B$14))</f>
        <v/>
      </c>
      <c r="M75" s="29">
        <f>IF(A75&gt;$B$5+$B$6+$B$7,0,IF(A75&gt;$B$6+$B$7,-$B$14-$B$13/K75,IF(A75&gt;$B$6,-$B$14-$B$13*$B$15/K75,-$B$14-($B$13*$B$15+$B$12)/K75)))</f>
        <v/>
      </c>
      <c r="N75" s="29">
        <f>IF(A75&gt;$B$5+$B$6+$B$7,0,IF(A75+1&gt;$B$5+$B$6+$B$7,0,IF(A75&gt;$B$6+$B$7,$B$13/K76,IF(A75&gt;=$B$6,$B$13*$B$15/K76,($B$13*$B$15+$B$12)/K76))))</f>
        <v/>
      </c>
      <c r="O75" s="29">
        <f>IF(A75&gt;$B$5+$B$6+$B$7,0,IF(A75=$B$6,-$M$7*$B$12,0))</f>
        <v/>
      </c>
      <c r="P75" s="29">
        <f>IF(A75&gt;$B$5+$B$6+$B$7,0,N75/(M75-L75*P74))</f>
        <v/>
      </c>
      <c r="Q75" s="29">
        <f>IF(A75&gt;$B$5+$B$6+$B$7,0,(O75-L75*Q74)/(M75-L75*P74))</f>
        <v/>
      </c>
      <c r="R75" s="30">
        <f>IF(A75&gt;$B$5+$B$6+$B$7,0,Q75-P75*R76)</f>
        <v/>
      </c>
      <c r="S75" s="29">
        <f>IF(A75&gt;$B$5+$B$6+$B$7,0,IF(A75&lt;=$B$6,$H$8*$B$9^$I$8,IF(A75&lt;=$B$6+$B$7,$H$8*$B$10^$I$8,$H$8*$B$11^$I$8)))</f>
        <v/>
      </c>
      <c r="T75" s="29">
        <f>IF(A75&gt;$B$5+$B$6+$B$7,0,IF(A75=1,0,$B$14))</f>
        <v/>
      </c>
      <c r="U75" s="29">
        <f>IF(A75&gt;$B$5+$B$6+$B$7,0,IF(A75&gt;$B$6+$B$7,-$B$14-$B$13/S75,IF(A75&gt;$B$6,-$B$14-$B$13*$B$15/S75,-$B$14-($B$13*$B$15+$B$12)/S75)))</f>
        <v/>
      </c>
      <c r="V75" s="29">
        <f>IF(A75&gt;$B$5+$B$6+$B$7,0,IF(A75+1&gt;$B$5+$B$6+$B$7,0,IF(A75&gt;$B$6+$B$7,$B$13/S76,IF(A75&gt;=$B$6,$B$13*$B$15/S76,($B$13*$B$15+$B$12)/S76))))</f>
        <v/>
      </c>
      <c r="W75" s="29">
        <f>IF(A75&gt;$B$5+$B$6+$B$7,0,IF(A75=$B$6,-$M$8*$B$12,0))</f>
        <v/>
      </c>
      <c r="X75" s="29">
        <f>IF(A75&gt;$B$5+$B$6+$B$7,0,V75/(U75-T75*X74))</f>
        <v/>
      </c>
      <c r="Y75" s="29">
        <f>IF(A75&gt;$B$5+$B$6+$B$7,0,(W75-T75*Y74)/(U75-T75*X74))</f>
        <v/>
      </c>
      <c r="Z75" s="30">
        <f>IF(A75&gt;$B$5+$B$6+$B$7,0,Y75-X75*Z76)</f>
        <v/>
      </c>
      <c r="AA75" s="29">
        <f>IF(A75&gt;$B$5+$B$6+$B$7,0,IF(A75&lt;=$B$6,$H$9*$B$9^$I$9,IF(A75&lt;=$B$6+$B$7,$H$9*$B$10^$I$9,$H$9*$B$11^$I$9)))</f>
        <v/>
      </c>
      <c r="AB75" s="29">
        <f>IF(A75&gt;$B$5+$B$6+$B$7,0,IF(A75=1,0,$B$14))</f>
        <v/>
      </c>
      <c r="AC75" s="29">
        <f>IF(A75&gt;$B$5+$B$6+$B$7,0,IF(A75&gt;$B$6+$B$7,-$B$14-$B$13/AA75,IF(A75&gt;$B$6,-$B$14-$B$13*$B$15/AA75,-$B$14-($B$13*$B$15+$B$12)/AA75)))</f>
        <v/>
      </c>
      <c r="AD75" s="29">
        <f>IF(A75&gt;$B$5+$B$6+$B$7,0,IF(A75+1&gt;$B$5+$B$6+$B$7,0,IF(A75&gt;$B$6+$B$7,$B$13/AA76,IF(A75&gt;=$B$6,$B$13*$B$15/AA76,($B$13*$B$15+$B$12)/AA76))))</f>
        <v/>
      </c>
      <c r="AE75" s="29">
        <f>IF(A75&gt;$B$5+$B$6+$B$7,0,IF(A75=$B$6,-$M$9*$B$12,0))</f>
        <v/>
      </c>
      <c r="AF75" s="29">
        <f>IF(A75&gt;$B$5+$B$6+$B$7,0,AD75/(AC75-AB75*AF74))</f>
        <v/>
      </c>
      <c r="AG75" s="29">
        <f>IF(A75&gt;$B$5+$B$6+$B$7,0,(AE75-AB75*AG74)/(AC75-AB75*AF74))</f>
        <v/>
      </c>
      <c r="AH75" s="30">
        <f>IF(A75&gt;$B$5+$B$6+$B$7,0,AG75-AF75*AH76)</f>
        <v/>
      </c>
      <c r="AI75" s="31">
        <f>IF(A75&gt;$B$5+$B$6+$B$7,0,IF(C75&lt;&gt;0,J75/C75,0))</f>
        <v/>
      </c>
      <c r="AJ75" s="31">
        <f>IF(A75&gt;$B$5+$B$6+$B$7,0,IF(K75&lt;&gt;0,R75/K75,0))</f>
        <v/>
      </c>
      <c r="AK75" s="31">
        <f>IF(A75&gt;$B$5+$B$6+$B$7,0,IF(S75&lt;&gt;0,Z75/S75,0))</f>
        <v/>
      </c>
      <c r="AL75" s="31">
        <f>IF(A75&gt;$B$5+$B$6+$B$7,0,IF(AA75&lt;&gt;0,AH75/AA75,0))</f>
        <v/>
      </c>
      <c r="AM75" s="30">
        <f>J75+R75+Z75+AH75</f>
        <v/>
      </c>
      <c r="AN75" s="30">
        <f>AI75+AJ75+AK75+AL75</f>
        <v/>
      </c>
    </row>
    <row r="76">
      <c r="A76" s="27" t="n">
        <v>57</v>
      </c>
      <c r="B76" s="28">
        <f>IF(A76&gt;$B$5+$B$6+$B$7,"—",IF(A76&lt;=$B$6,"Extraction",IF(A76&lt;=$B$6+$B$7,"Scrub","Strip")))</f>
        <v/>
      </c>
      <c r="C76" s="29">
        <f>IF(A76&gt;$B$5+$B$6+$B$7,0,IF(A76&lt;=$B$6,$H$6*$B$9^$I$6,IF(A76&lt;=$B$6+$B$7,$H$6*$B$10^$I$6,$H$6*$B$11^$I$6)))</f>
        <v/>
      </c>
      <c r="D76" s="29">
        <f>IF(A76&gt;$B$5+$B$6+$B$7,0,IF(A76=1,0,$B$14))</f>
        <v/>
      </c>
      <c r="E76" s="29">
        <f>IF(A76&gt;$B$5+$B$6+$B$7,0,IF(A76&gt;$B$6+$B$7,-$B$14-$B$13/C76,IF(A76&gt;$B$6,-$B$14-$B$13*$B$15/C76,-$B$14-($B$13*$B$15+$B$12)/C76)))</f>
        <v/>
      </c>
      <c r="F76" s="29">
        <f>IF(A76&gt;$B$5+$B$6+$B$7,0,IF(A76+1&gt;$B$5+$B$6+$B$7,0,IF(A76&gt;$B$6+$B$7,$B$13/C77,IF(A76&gt;=$B$6,$B$13*$B$15/C77,($B$13*$B$15+$B$12)/C77))))</f>
        <v/>
      </c>
      <c r="G76" s="29">
        <f>IF(A76&gt;$B$5+$B$6+$B$7,0,IF(A76=$B$6,-$M$6*$B$12,0))</f>
        <v/>
      </c>
      <c r="H76" s="29">
        <f>IF(A76&gt;$B$5+$B$6+$B$7,0,F76/(E76-D76*H75))</f>
        <v/>
      </c>
      <c r="I76" s="29">
        <f>IF(A76&gt;$B$5+$B$6+$B$7,0,(G76-D76*I75)/(E76-D76*H75))</f>
        <v/>
      </c>
      <c r="J76" s="30">
        <f>IF(A76&gt;$B$5+$B$6+$B$7,0,I76-H76*J77)</f>
        <v/>
      </c>
      <c r="K76" s="29">
        <f>IF(A76&gt;$B$5+$B$6+$B$7,0,IF(A76&lt;=$B$6,$H$7*$B$9^$I$7,IF(A76&lt;=$B$6+$B$7,$H$7*$B$10^$I$7,$H$7*$B$11^$I$7)))</f>
        <v/>
      </c>
      <c r="L76" s="29">
        <f>IF(A76&gt;$B$5+$B$6+$B$7,0,IF(A76=1,0,$B$14))</f>
        <v/>
      </c>
      <c r="M76" s="29">
        <f>IF(A76&gt;$B$5+$B$6+$B$7,0,IF(A76&gt;$B$6+$B$7,-$B$14-$B$13/K76,IF(A76&gt;$B$6,-$B$14-$B$13*$B$15/K76,-$B$14-($B$13*$B$15+$B$12)/K76)))</f>
        <v/>
      </c>
      <c r="N76" s="29">
        <f>IF(A76&gt;$B$5+$B$6+$B$7,0,IF(A76+1&gt;$B$5+$B$6+$B$7,0,IF(A76&gt;$B$6+$B$7,$B$13/K77,IF(A76&gt;=$B$6,$B$13*$B$15/K77,($B$13*$B$15+$B$12)/K77))))</f>
        <v/>
      </c>
      <c r="O76" s="29">
        <f>IF(A76&gt;$B$5+$B$6+$B$7,0,IF(A76=$B$6,-$M$7*$B$12,0))</f>
        <v/>
      </c>
      <c r="P76" s="29">
        <f>IF(A76&gt;$B$5+$B$6+$B$7,0,N76/(M76-L76*P75))</f>
        <v/>
      </c>
      <c r="Q76" s="29">
        <f>IF(A76&gt;$B$5+$B$6+$B$7,0,(O76-L76*Q75)/(M76-L76*P75))</f>
        <v/>
      </c>
      <c r="R76" s="30">
        <f>IF(A76&gt;$B$5+$B$6+$B$7,0,Q76-P76*R77)</f>
        <v/>
      </c>
      <c r="S76" s="29">
        <f>IF(A76&gt;$B$5+$B$6+$B$7,0,IF(A76&lt;=$B$6,$H$8*$B$9^$I$8,IF(A76&lt;=$B$6+$B$7,$H$8*$B$10^$I$8,$H$8*$B$11^$I$8)))</f>
        <v/>
      </c>
      <c r="T76" s="29">
        <f>IF(A76&gt;$B$5+$B$6+$B$7,0,IF(A76=1,0,$B$14))</f>
        <v/>
      </c>
      <c r="U76" s="29">
        <f>IF(A76&gt;$B$5+$B$6+$B$7,0,IF(A76&gt;$B$6+$B$7,-$B$14-$B$13/S76,IF(A76&gt;$B$6,-$B$14-$B$13*$B$15/S76,-$B$14-($B$13*$B$15+$B$12)/S76)))</f>
        <v/>
      </c>
      <c r="V76" s="29">
        <f>IF(A76&gt;$B$5+$B$6+$B$7,0,IF(A76+1&gt;$B$5+$B$6+$B$7,0,IF(A76&gt;$B$6+$B$7,$B$13/S77,IF(A76&gt;=$B$6,$B$13*$B$15/S77,($B$13*$B$15+$B$12)/S77))))</f>
        <v/>
      </c>
      <c r="W76" s="29">
        <f>IF(A76&gt;$B$5+$B$6+$B$7,0,IF(A76=$B$6,-$M$8*$B$12,0))</f>
        <v/>
      </c>
      <c r="X76" s="29">
        <f>IF(A76&gt;$B$5+$B$6+$B$7,0,V76/(U76-T76*X75))</f>
        <v/>
      </c>
      <c r="Y76" s="29">
        <f>IF(A76&gt;$B$5+$B$6+$B$7,0,(W76-T76*Y75)/(U76-T76*X75))</f>
        <v/>
      </c>
      <c r="Z76" s="30">
        <f>IF(A76&gt;$B$5+$B$6+$B$7,0,Y76-X76*Z77)</f>
        <v/>
      </c>
      <c r="AA76" s="29">
        <f>IF(A76&gt;$B$5+$B$6+$B$7,0,IF(A76&lt;=$B$6,$H$9*$B$9^$I$9,IF(A76&lt;=$B$6+$B$7,$H$9*$B$10^$I$9,$H$9*$B$11^$I$9)))</f>
        <v/>
      </c>
      <c r="AB76" s="29">
        <f>IF(A76&gt;$B$5+$B$6+$B$7,0,IF(A76=1,0,$B$14))</f>
        <v/>
      </c>
      <c r="AC76" s="29">
        <f>IF(A76&gt;$B$5+$B$6+$B$7,0,IF(A76&gt;$B$6+$B$7,-$B$14-$B$13/AA76,IF(A76&gt;$B$6,-$B$14-$B$13*$B$15/AA76,-$B$14-($B$13*$B$15+$B$12)/AA76)))</f>
        <v/>
      </c>
      <c r="AD76" s="29">
        <f>IF(A76&gt;$B$5+$B$6+$B$7,0,IF(A76+1&gt;$B$5+$B$6+$B$7,0,IF(A76&gt;$B$6+$B$7,$B$13/AA77,IF(A76&gt;=$B$6,$B$13*$B$15/AA77,($B$13*$B$15+$B$12)/AA77))))</f>
        <v/>
      </c>
      <c r="AE76" s="29">
        <f>IF(A76&gt;$B$5+$B$6+$B$7,0,IF(A76=$B$6,-$M$9*$B$12,0))</f>
        <v/>
      </c>
      <c r="AF76" s="29">
        <f>IF(A76&gt;$B$5+$B$6+$B$7,0,AD76/(AC76-AB76*AF75))</f>
        <v/>
      </c>
      <c r="AG76" s="29">
        <f>IF(A76&gt;$B$5+$B$6+$B$7,0,(AE76-AB76*AG75)/(AC76-AB76*AF75))</f>
        <v/>
      </c>
      <c r="AH76" s="30">
        <f>IF(A76&gt;$B$5+$B$6+$B$7,0,AG76-AF76*AH77)</f>
        <v/>
      </c>
      <c r="AI76" s="31">
        <f>IF(A76&gt;$B$5+$B$6+$B$7,0,IF(C76&lt;&gt;0,J76/C76,0))</f>
        <v/>
      </c>
      <c r="AJ76" s="31">
        <f>IF(A76&gt;$B$5+$B$6+$B$7,0,IF(K76&lt;&gt;0,R76/K76,0))</f>
        <v/>
      </c>
      <c r="AK76" s="31">
        <f>IF(A76&gt;$B$5+$B$6+$B$7,0,IF(S76&lt;&gt;0,Z76/S76,0))</f>
        <v/>
      </c>
      <c r="AL76" s="31">
        <f>IF(A76&gt;$B$5+$B$6+$B$7,0,IF(AA76&lt;&gt;0,AH76/AA76,0))</f>
        <v/>
      </c>
      <c r="AM76" s="30">
        <f>J76+R76+Z76+AH76</f>
        <v/>
      </c>
      <c r="AN76" s="30">
        <f>AI76+AJ76+AK76+AL76</f>
        <v/>
      </c>
    </row>
    <row r="77">
      <c r="A77" s="27" t="n">
        <v>58</v>
      </c>
      <c r="B77" s="28">
        <f>IF(A77&gt;$B$5+$B$6+$B$7,"—",IF(A77&lt;=$B$6,"Extraction",IF(A77&lt;=$B$6+$B$7,"Scrub","Strip")))</f>
        <v/>
      </c>
      <c r="C77" s="29">
        <f>IF(A77&gt;$B$5+$B$6+$B$7,0,IF(A77&lt;=$B$6,$H$6*$B$9^$I$6,IF(A77&lt;=$B$6+$B$7,$H$6*$B$10^$I$6,$H$6*$B$11^$I$6)))</f>
        <v/>
      </c>
      <c r="D77" s="29">
        <f>IF(A77&gt;$B$5+$B$6+$B$7,0,IF(A77=1,0,$B$14))</f>
        <v/>
      </c>
      <c r="E77" s="29">
        <f>IF(A77&gt;$B$5+$B$6+$B$7,0,IF(A77&gt;$B$6+$B$7,-$B$14-$B$13/C77,IF(A77&gt;$B$6,-$B$14-$B$13*$B$15/C77,-$B$14-($B$13*$B$15+$B$12)/C77)))</f>
        <v/>
      </c>
      <c r="F77" s="29">
        <f>IF(A77&gt;$B$5+$B$6+$B$7,0,IF(A77+1&gt;$B$5+$B$6+$B$7,0,IF(A77&gt;$B$6+$B$7,$B$13/C78,IF(A77&gt;=$B$6,$B$13*$B$15/C78,($B$13*$B$15+$B$12)/C78))))</f>
        <v/>
      </c>
      <c r="G77" s="29">
        <f>IF(A77&gt;$B$5+$B$6+$B$7,0,IF(A77=$B$6,-$M$6*$B$12,0))</f>
        <v/>
      </c>
      <c r="H77" s="29">
        <f>IF(A77&gt;$B$5+$B$6+$B$7,0,F77/(E77-D77*H76))</f>
        <v/>
      </c>
      <c r="I77" s="29">
        <f>IF(A77&gt;$B$5+$B$6+$B$7,0,(G77-D77*I76)/(E77-D77*H76))</f>
        <v/>
      </c>
      <c r="J77" s="30">
        <f>IF(A77&gt;$B$5+$B$6+$B$7,0,I77-H77*J78)</f>
        <v/>
      </c>
      <c r="K77" s="29">
        <f>IF(A77&gt;$B$5+$B$6+$B$7,0,IF(A77&lt;=$B$6,$H$7*$B$9^$I$7,IF(A77&lt;=$B$6+$B$7,$H$7*$B$10^$I$7,$H$7*$B$11^$I$7)))</f>
        <v/>
      </c>
      <c r="L77" s="29">
        <f>IF(A77&gt;$B$5+$B$6+$B$7,0,IF(A77=1,0,$B$14))</f>
        <v/>
      </c>
      <c r="M77" s="29">
        <f>IF(A77&gt;$B$5+$B$6+$B$7,0,IF(A77&gt;$B$6+$B$7,-$B$14-$B$13/K77,IF(A77&gt;$B$6,-$B$14-$B$13*$B$15/K77,-$B$14-($B$13*$B$15+$B$12)/K77)))</f>
        <v/>
      </c>
      <c r="N77" s="29">
        <f>IF(A77&gt;$B$5+$B$6+$B$7,0,IF(A77+1&gt;$B$5+$B$6+$B$7,0,IF(A77&gt;$B$6+$B$7,$B$13/K78,IF(A77&gt;=$B$6,$B$13*$B$15/K78,($B$13*$B$15+$B$12)/K78))))</f>
        <v/>
      </c>
      <c r="O77" s="29">
        <f>IF(A77&gt;$B$5+$B$6+$B$7,0,IF(A77=$B$6,-$M$7*$B$12,0))</f>
        <v/>
      </c>
      <c r="P77" s="29">
        <f>IF(A77&gt;$B$5+$B$6+$B$7,0,N77/(M77-L77*P76))</f>
        <v/>
      </c>
      <c r="Q77" s="29">
        <f>IF(A77&gt;$B$5+$B$6+$B$7,0,(O77-L77*Q76)/(M77-L77*P76))</f>
        <v/>
      </c>
      <c r="R77" s="30">
        <f>IF(A77&gt;$B$5+$B$6+$B$7,0,Q77-P77*R78)</f>
        <v/>
      </c>
      <c r="S77" s="29">
        <f>IF(A77&gt;$B$5+$B$6+$B$7,0,IF(A77&lt;=$B$6,$H$8*$B$9^$I$8,IF(A77&lt;=$B$6+$B$7,$H$8*$B$10^$I$8,$H$8*$B$11^$I$8)))</f>
        <v/>
      </c>
      <c r="T77" s="29">
        <f>IF(A77&gt;$B$5+$B$6+$B$7,0,IF(A77=1,0,$B$14))</f>
        <v/>
      </c>
      <c r="U77" s="29">
        <f>IF(A77&gt;$B$5+$B$6+$B$7,0,IF(A77&gt;$B$6+$B$7,-$B$14-$B$13/S77,IF(A77&gt;$B$6,-$B$14-$B$13*$B$15/S77,-$B$14-($B$13*$B$15+$B$12)/S77)))</f>
        <v/>
      </c>
      <c r="V77" s="29">
        <f>IF(A77&gt;$B$5+$B$6+$B$7,0,IF(A77+1&gt;$B$5+$B$6+$B$7,0,IF(A77&gt;$B$6+$B$7,$B$13/S78,IF(A77&gt;=$B$6,$B$13*$B$15/S78,($B$13*$B$15+$B$12)/S78))))</f>
        <v/>
      </c>
      <c r="W77" s="29">
        <f>IF(A77&gt;$B$5+$B$6+$B$7,0,IF(A77=$B$6,-$M$8*$B$12,0))</f>
        <v/>
      </c>
      <c r="X77" s="29">
        <f>IF(A77&gt;$B$5+$B$6+$B$7,0,V77/(U77-T77*X76))</f>
        <v/>
      </c>
      <c r="Y77" s="29">
        <f>IF(A77&gt;$B$5+$B$6+$B$7,0,(W77-T77*Y76)/(U77-T77*X76))</f>
        <v/>
      </c>
      <c r="Z77" s="30">
        <f>IF(A77&gt;$B$5+$B$6+$B$7,0,Y77-X77*Z78)</f>
        <v/>
      </c>
      <c r="AA77" s="29">
        <f>IF(A77&gt;$B$5+$B$6+$B$7,0,IF(A77&lt;=$B$6,$H$9*$B$9^$I$9,IF(A77&lt;=$B$6+$B$7,$H$9*$B$10^$I$9,$H$9*$B$11^$I$9)))</f>
        <v/>
      </c>
      <c r="AB77" s="29">
        <f>IF(A77&gt;$B$5+$B$6+$B$7,0,IF(A77=1,0,$B$14))</f>
        <v/>
      </c>
      <c r="AC77" s="29">
        <f>IF(A77&gt;$B$5+$B$6+$B$7,0,IF(A77&gt;$B$6+$B$7,-$B$14-$B$13/AA77,IF(A77&gt;$B$6,-$B$14-$B$13*$B$15/AA77,-$B$14-($B$13*$B$15+$B$12)/AA77)))</f>
        <v/>
      </c>
      <c r="AD77" s="29">
        <f>IF(A77&gt;$B$5+$B$6+$B$7,0,IF(A77+1&gt;$B$5+$B$6+$B$7,0,IF(A77&gt;$B$6+$B$7,$B$13/AA78,IF(A77&gt;=$B$6,$B$13*$B$15/AA78,($B$13*$B$15+$B$12)/AA78))))</f>
        <v/>
      </c>
      <c r="AE77" s="29">
        <f>IF(A77&gt;$B$5+$B$6+$B$7,0,IF(A77=$B$6,-$M$9*$B$12,0))</f>
        <v/>
      </c>
      <c r="AF77" s="29">
        <f>IF(A77&gt;$B$5+$B$6+$B$7,0,AD77/(AC77-AB77*AF76))</f>
        <v/>
      </c>
      <c r="AG77" s="29">
        <f>IF(A77&gt;$B$5+$B$6+$B$7,0,(AE77-AB77*AG76)/(AC77-AB77*AF76))</f>
        <v/>
      </c>
      <c r="AH77" s="30">
        <f>IF(A77&gt;$B$5+$B$6+$B$7,0,AG77-AF77*AH78)</f>
        <v/>
      </c>
      <c r="AI77" s="31">
        <f>IF(A77&gt;$B$5+$B$6+$B$7,0,IF(C77&lt;&gt;0,J77/C77,0))</f>
        <v/>
      </c>
      <c r="AJ77" s="31">
        <f>IF(A77&gt;$B$5+$B$6+$B$7,0,IF(K77&lt;&gt;0,R77/K77,0))</f>
        <v/>
      </c>
      <c r="AK77" s="31">
        <f>IF(A77&gt;$B$5+$B$6+$B$7,0,IF(S77&lt;&gt;0,Z77/S77,0))</f>
        <v/>
      </c>
      <c r="AL77" s="31">
        <f>IF(A77&gt;$B$5+$B$6+$B$7,0,IF(AA77&lt;&gt;0,AH77/AA77,0))</f>
        <v/>
      </c>
      <c r="AM77" s="30">
        <f>J77+R77+Z77+AH77</f>
        <v/>
      </c>
      <c r="AN77" s="30">
        <f>AI77+AJ77+AK77+AL77</f>
        <v/>
      </c>
    </row>
    <row r="78">
      <c r="A78" s="27" t="n">
        <v>59</v>
      </c>
      <c r="B78" s="28">
        <f>IF(A78&gt;$B$5+$B$6+$B$7,"—",IF(A78&lt;=$B$6,"Extraction",IF(A78&lt;=$B$6+$B$7,"Scrub","Strip")))</f>
        <v/>
      </c>
      <c r="C78" s="29">
        <f>IF(A78&gt;$B$5+$B$6+$B$7,0,IF(A78&lt;=$B$6,$H$6*$B$9^$I$6,IF(A78&lt;=$B$6+$B$7,$H$6*$B$10^$I$6,$H$6*$B$11^$I$6)))</f>
        <v/>
      </c>
      <c r="D78" s="29">
        <f>IF(A78&gt;$B$5+$B$6+$B$7,0,IF(A78=1,0,$B$14))</f>
        <v/>
      </c>
      <c r="E78" s="29">
        <f>IF(A78&gt;$B$5+$B$6+$B$7,0,IF(A78&gt;$B$6+$B$7,-$B$14-$B$13/C78,IF(A78&gt;$B$6,-$B$14-$B$13*$B$15/C78,-$B$14-($B$13*$B$15+$B$12)/C78)))</f>
        <v/>
      </c>
      <c r="F78" s="29">
        <f>IF(A78&gt;$B$5+$B$6+$B$7,0,IF(A78+1&gt;$B$5+$B$6+$B$7,0,IF(A78&gt;$B$6+$B$7,$B$13/C79,IF(A78&gt;=$B$6,$B$13*$B$15/C79,($B$13*$B$15+$B$12)/C79))))</f>
        <v/>
      </c>
      <c r="G78" s="29">
        <f>IF(A78&gt;$B$5+$B$6+$B$7,0,IF(A78=$B$6,-$M$6*$B$12,0))</f>
        <v/>
      </c>
      <c r="H78" s="29">
        <f>IF(A78&gt;$B$5+$B$6+$B$7,0,F78/(E78-D78*H77))</f>
        <v/>
      </c>
      <c r="I78" s="29">
        <f>IF(A78&gt;$B$5+$B$6+$B$7,0,(G78-D78*I77)/(E78-D78*H77))</f>
        <v/>
      </c>
      <c r="J78" s="30">
        <f>IF(A78&gt;$B$5+$B$6+$B$7,0,I78-H78*J79)</f>
        <v/>
      </c>
      <c r="K78" s="29">
        <f>IF(A78&gt;$B$5+$B$6+$B$7,0,IF(A78&lt;=$B$6,$H$7*$B$9^$I$7,IF(A78&lt;=$B$6+$B$7,$H$7*$B$10^$I$7,$H$7*$B$11^$I$7)))</f>
        <v/>
      </c>
      <c r="L78" s="29">
        <f>IF(A78&gt;$B$5+$B$6+$B$7,0,IF(A78=1,0,$B$14))</f>
        <v/>
      </c>
      <c r="M78" s="29">
        <f>IF(A78&gt;$B$5+$B$6+$B$7,0,IF(A78&gt;$B$6+$B$7,-$B$14-$B$13/K78,IF(A78&gt;$B$6,-$B$14-$B$13*$B$15/K78,-$B$14-($B$13*$B$15+$B$12)/K78)))</f>
        <v/>
      </c>
      <c r="N78" s="29">
        <f>IF(A78&gt;$B$5+$B$6+$B$7,0,IF(A78+1&gt;$B$5+$B$6+$B$7,0,IF(A78&gt;$B$6+$B$7,$B$13/K79,IF(A78&gt;=$B$6,$B$13*$B$15/K79,($B$13*$B$15+$B$12)/K79))))</f>
        <v/>
      </c>
      <c r="O78" s="29">
        <f>IF(A78&gt;$B$5+$B$6+$B$7,0,IF(A78=$B$6,-$M$7*$B$12,0))</f>
        <v/>
      </c>
      <c r="P78" s="29">
        <f>IF(A78&gt;$B$5+$B$6+$B$7,0,N78/(M78-L78*P77))</f>
        <v/>
      </c>
      <c r="Q78" s="29">
        <f>IF(A78&gt;$B$5+$B$6+$B$7,0,(O78-L78*Q77)/(M78-L78*P77))</f>
        <v/>
      </c>
      <c r="R78" s="30">
        <f>IF(A78&gt;$B$5+$B$6+$B$7,0,Q78-P78*R79)</f>
        <v/>
      </c>
      <c r="S78" s="29">
        <f>IF(A78&gt;$B$5+$B$6+$B$7,0,IF(A78&lt;=$B$6,$H$8*$B$9^$I$8,IF(A78&lt;=$B$6+$B$7,$H$8*$B$10^$I$8,$H$8*$B$11^$I$8)))</f>
        <v/>
      </c>
      <c r="T78" s="29">
        <f>IF(A78&gt;$B$5+$B$6+$B$7,0,IF(A78=1,0,$B$14))</f>
        <v/>
      </c>
      <c r="U78" s="29">
        <f>IF(A78&gt;$B$5+$B$6+$B$7,0,IF(A78&gt;$B$6+$B$7,-$B$14-$B$13/S78,IF(A78&gt;$B$6,-$B$14-$B$13*$B$15/S78,-$B$14-($B$13*$B$15+$B$12)/S78)))</f>
        <v/>
      </c>
      <c r="V78" s="29">
        <f>IF(A78&gt;$B$5+$B$6+$B$7,0,IF(A78+1&gt;$B$5+$B$6+$B$7,0,IF(A78&gt;$B$6+$B$7,$B$13/S79,IF(A78&gt;=$B$6,$B$13*$B$15/S79,($B$13*$B$15+$B$12)/S79))))</f>
        <v/>
      </c>
      <c r="W78" s="29">
        <f>IF(A78&gt;$B$5+$B$6+$B$7,0,IF(A78=$B$6,-$M$8*$B$12,0))</f>
        <v/>
      </c>
      <c r="X78" s="29">
        <f>IF(A78&gt;$B$5+$B$6+$B$7,0,V78/(U78-T78*X77))</f>
        <v/>
      </c>
      <c r="Y78" s="29">
        <f>IF(A78&gt;$B$5+$B$6+$B$7,0,(W78-T78*Y77)/(U78-T78*X77))</f>
        <v/>
      </c>
      <c r="Z78" s="30">
        <f>IF(A78&gt;$B$5+$B$6+$B$7,0,Y78-X78*Z79)</f>
        <v/>
      </c>
      <c r="AA78" s="29">
        <f>IF(A78&gt;$B$5+$B$6+$B$7,0,IF(A78&lt;=$B$6,$H$9*$B$9^$I$9,IF(A78&lt;=$B$6+$B$7,$H$9*$B$10^$I$9,$H$9*$B$11^$I$9)))</f>
        <v/>
      </c>
      <c r="AB78" s="29">
        <f>IF(A78&gt;$B$5+$B$6+$B$7,0,IF(A78=1,0,$B$14))</f>
        <v/>
      </c>
      <c r="AC78" s="29">
        <f>IF(A78&gt;$B$5+$B$6+$B$7,0,IF(A78&gt;$B$6+$B$7,-$B$14-$B$13/AA78,IF(A78&gt;$B$6,-$B$14-$B$13*$B$15/AA78,-$B$14-($B$13*$B$15+$B$12)/AA78)))</f>
        <v/>
      </c>
      <c r="AD78" s="29">
        <f>IF(A78&gt;$B$5+$B$6+$B$7,0,IF(A78+1&gt;$B$5+$B$6+$B$7,0,IF(A78&gt;$B$6+$B$7,$B$13/AA79,IF(A78&gt;=$B$6,$B$13*$B$15/AA79,($B$13*$B$15+$B$12)/AA79))))</f>
        <v/>
      </c>
      <c r="AE78" s="29">
        <f>IF(A78&gt;$B$5+$B$6+$B$7,0,IF(A78=$B$6,-$M$9*$B$12,0))</f>
        <v/>
      </c>
      <c r="AF78" s="29">
        <f>IF(A78&gt;$B$5+$B$6+$B$7,0,AD78/(AC78-AB78*AF77))</f>
        <v/>
      </c>
      <c r="AG78" s="29">
        <f>IF(A78&gt;$B$5+$B$6+$B$7,0,(AE78-AB78*AG77)/(AC78-AB78*AF77))</f>
        <v/>
      </c>
      <c r="AH78" s="30">
        <f>IF(A78&gt;$B$5+$B$6+$B$7,0,AG78-AF78*AH79)</f>
        <v/>
      </c>
      <c r="AI78" s="31">
        <f>IF(A78&gt;$B$5+$B$6+$B$7,0,IF(C78&lt;&gt;0,J78/C78,0))</f>
        <v/>
      </c>
      <c r="AJ78" s="31">
        <f>IF(A78&gt;$B$5+$B$6+$B$7,0,IF(K78&lt;&gt;0,R78/K78,0))</f>
        <v/>
      </c>
      <c r="AK78" s="31">
        <f>IF(A78&gt;$B$5+$B$6+$B$7,0,IF(S78&lt;&gt;0,Z78/S78,0))</f>
        <v/>
      </c>
      <c r="AL78" s="31">
        <f>IF(A78&gt;$B$5+$B$6+$B$7,0,IF(AA78&lt;&gt;0,AH78/AA78,0))</f>
        <v/>
      </c>
      <c r="AM78" s="30">
        <f>J78+R78+Z78+AH78</f>
        <v/>
      </c>
      <c r="AN78" s="30">
        <f>AI78+AJ78+AK78+AL78</f>
        <v/>
      </c>
    </row>
    <row r="79">
      <c r="A79" s="27" t="n">
        <v>60</v>
      </c>
      <c r="B79" s="28">
        <f>IF(A79&gt;$B$5+$B$6+$B$7,"—",IF(A79&lt;=$B$6,"Extraction",IF(A79&lt;=$B$6+$B$7,"Scrub","Strip")))</f>
        <v/>
      </c>
      <c r="C79" s="29">
        <f>IF(A79&gt;$B$5+$B$6+$B$7,0,IF(A79&lt;=$B$6,$H$6*$B$9^$I$6,IF(A79&lt;=$B$6+$B$7,$H$6*$B$10^$I$6,$H$6*$B$11^$I$6)))</f>
        <v/>
      </c>
      <c r="D79" s="29">
        <f>IF(A79&gt;$B$5+$B$6+$B$7,0,IF(A79=1,0,$B$14))</f>
        <v/>
      </c>
      <c r="E79" s="29">
        <f>IF(A79&gt;$B$5+$B$6+$B$7,0,IF(A79&gt;$B$6+$B$7,-$B$14-$B$13/C79,IF(A79&gt;$B$6,-$B$14-$B$13*$B$15/C79,-$B$14-($B$13*$B$15+$B$12)/C79)))</f>
        <v/>
      </c>
      <c r="F79" s="29">
        <f>IF(A79&gt;$B$5+$B$6+$B$7,0,IF(A79+1&gt;$B$5+$B$6+$B$7,0,IF(A79&gt;$B$6+$B$7,$B$13/C80,IF(A79&gt;=$B$6,$B$13*$B$15/C80,($B$13*$B$15+$B$12)/C80))))</f>
        <v/>
      </c>
      <c r="G79" s="29">
        <f>IF(A79&gt;$B$5+$B$6+$B$7,0,IF(A79=$B$6,-$M$6*$B$12,0))</f>
        <v/>
      </c>
      <c r="H79" s="29">
        <f>IF(A79&gt;$B$5+$B$6+$B$7,0,F79/(E79-D79*H78))</f>
        <v/>
      </c>
      <c r="I79" s="29">
        <f>IF(A79&gt;$B$5+$B$6+$B$7,0,(G79-D79*I78)/(E79-D79*H78))</f>
        <v/>
      </c>
      <c r="J79" s="30">
        <f>IF(A79&gt;$B$5+$B$6+$B$7,0,I79-H79*J80)</f>
        <v/>
      </c>
      <c r="K79" s="29">
        <f>IF(A79&gt;$B$5+$B$6+$B$7,0,IF(A79&lt;=$B$6,$H$7*$B$9^$I$7,IF(A79&lt;=$B$6+$B$7,$H$7*$B$10^$I$7,$H$7*$B$11^$I$7)))</f>
        <v/>
      </c>
      <c r="L79" s="29">
        <f>IF(A79&gt;$B$5+$B$6+$B$7,0,IF(A79=1,0,$B$14))</f>
        <v/>
      </c>
      <c r="M79" s="29">
        <f>IF(A79&gt;$B$5+$B$6+$B$7,0,IF(A79&gt;$B$6+$B$7,-$B$14-$B$13/K79,IF(A79&gt;$B$6,-$B$14-$B$13*$B$15/K79,-$B$14-($B$13*$B$15+$B$12)/K79)))</f>
        <v/>
      </c>
      <c r="N79" s="29">
        <f>IF(A79&gt;$B$5+$B$6+$B$7,0,IF(A79+1&gt;$B$5+$B$6+$B$7,0,IF(A79&gt;$B$6+$B$7,$B$13/K80,IF(A79&gt;=$B$6,$B$13*$B$15/K80,($B$13*$B$15+$B$12)/K80))))</f>
        <v/>
      </c>
      <c r="O79" s="29">
        <f>IF(A79&gt;$B$5+$B$6+$B$7,0,IF(A79=$B$6,-$M$7*$B$12,0))</f>
        <v/>
      </c>
      <c r="P79" s="29">
        <f>IF(A79&gt;$B$5+$B$6+$B$7,0,N79/(M79-L79*P78))</f>
        <v/>
      </c>
      <c r="Q79" s="29">
        <f>IF(A79&gt;$B$5+$B$6+$B$7,0,(O79-L79*Q78)/(M79-L79*P78))</f>
        <v/>
      </c>
      <c r="R79" s="30">
        <f>IF(A79&gt;$B$5+$B$6+$B$7,0,Q79-P79*R80)</f>
        <v/>
      </c>
      <c r="S79" s="29">
        <f>IF(A79&gt;$B$5+$B$6+$B$7,0,IF(A79&lt;=$B$6,$H$8*$B$9^$I$8,IF(A79&lt;=$B$6+$B$7,$H$8*$B$10^$I$8,$H$8*$B$11^$I$8)))</f>
        <v/>
      </c>
      <c r="T79" s="29">
        <f>IF(A79&gt;$B$5+$B$6+$B$7,0,IF(A79=1,0,$B$14))</f>
        <v/>
      </c>
      <c r="U79" s="29">
        <f>IF(A79&gt;$B$5+$B$6+$B$7,0,IF(A79&gt;$B$6+$B$7,-$B$14-$B$13/S79,IF(A79&gt;$B$6,-$B$14-$B$13*$B$15/S79,-$B$14-($B$13*$B$15+$B$12)/S79)))</f>
        <v/>
      </c>
      <c r="V79" s="29">
        <f>IF(A79&gt;$B$5+$B$6+$B$7,0,IF(A79+1&gt;$B$5+$B$6+$B$7,0,IF(A79&gt;$B$6+$B$7,$B$13/S80,IF(A79&gt;=$B$6,$B$13*$B$15/S80,($B$13*$B$15+$B$12)/S80))))</f>
        <v/>
      </c>
      <c r="W79" s="29">
        <f>IF(A79&gt;$B$5+$B$6+$B$7,0,IF(A79=$B$6,-$M$8*$B$12,0))</f>
        <v/>
      </c>
      <c r="X79" s="29">
        <f>IF(A79&gt;$B$5+$B$6+$B$7,0,V79/(U79-T79*X78))</f>
        <v/>
      </c>
      <c r="Y79" s="29">
        <f>IF(A79&gt;$B$5+$B$6+$B$7,0,(W79-T79*Y78)/(U79-T79*X78))</f>
        <v/>
      </c>
      <c r="Z79" s="30">
        <f>IF(A79&gt;$B$5+$B$6+$B$7,0,Y79-X79*Z80)</f>
        <v/>
      </c>
      <c r="AA79" s="29">
        <f>IF(A79&gt;$B$5+$B$6+$B$7,0,IF(A79&lt;=$B$6,$H$9*$B$9^$I$9,IF(A79&lt;=$B$6+$B$7,$H$9*$B$10^$I$9,$H$9*$B$11^$I$9)))</f>
        <v/>
      </c>
      <c r="AB79" s="29">
        <f>IF(A79&gt;$B$5+$B$6+$B$7,0,IF(A79=1,0,$B$14))</f>
        <v/>
      </c>
      <c r="AC79" s="29">
        <f>IF(A79&gt;$B$5+$B$6+$B$7,0,IF(A79&gt;$B$6+$B$7,-$B$14-$B$13/AA79,IF(A79&gt;$B$6,-$B$14-$B$13*$B$15/AA79,-$B$14-($B$13*$B$15+$B$12)/AA79)))</f>
        <v/>
      </c>
      <c r="AD79" s="29">
        <f>IF(A79&gt;$B$5+$B$6+$B$7,0,IF(A79+1&gt;$B$5+$B$6+$B$7,0,IF(A79&gt;$B$6+$B$7,$B$13/AA80,IF(A79&gt;=$B$6,$B$13*$B$15/AA80,($B$13*$B$15+$B$12)/AA80))))</f>
        <v/>
      </c>
      <c r="AE79" s="29">
        <f>IF(A79&gt;$B$5+$B$6+$B$7,0,IF(A79=$B$6,-$M$9*$B$12,0))</f>
        <v/>
      </c>
      <c r="AF79" s="29">
        <f>IF(A79&gt;$B$5+$B$6+$B$7,0,AD79/(AC79-AB79*AF78))</f>
        <v/>
      </c>
      <c r="AG79" s="29">
        <f>IF(A79&gt;$B$5+$B$6+$B$7,0,(AE79-AB79*AG78)/(AC79-AB79*AF78))</f>
        <v/>
      </c>
      <c r="AH79" s="30">
        <f>IF(A79&gt;$B$5+$B$6+$B$7,0,AG79-AF79*AH80)</f>
        <v/>
      </c>
      <c r="AI79" s="31">
        <f>IF(A79&gt;$B$5+$B$6+$B$7,0,IF(C79&lt;&gt;0,J79/C79,0))</f>
        <v/>
      </c>
      <c r="AJ79" s="31">
        <f>IF(A79&gt;$B$5+$B$6+$B$7,0,IF(K79&lt;&gt;0,R79/K79,0))</f>
        <v/>
      </c>
      <c r="AK79" s="31">
        <f>IF(A79&gt;$B$5+$B$6+$B$7,0,IF(S79&lt;&gt;0,Z79/S79,0))</f>
        <v/>
      </c>
      <c r="AL79" s="31">
        <f>IF(A79&gt;$B$5+$B$6+$B$7,0,IF(AA79&lt;&gt;0,AH79/AA79,0))</f>
        <v/>
      </c>
      <c r="AM79" s="30">
        <f>J79+R79+Z79+AH79</f>
        <v/>
      </c>
      <c r="AN79" s="30">
        <f>AI79+AJ79+AK79+AL79</f>
        <v/>
      </c>
    </row>
    <row r="80">
      <c r="A80" s="27" t="n">
        <v>61</v>
      </c>
      <c r="B80" s="28">
        <f>IF(A80&gt;$B$5+$B$6+$B$7,"—",IF(A80&lt;=$B$6,"Extraction",IF(A80&lt;=$B$6+$B$7,"Scrub","Strip")))</f>
        <v/>
      </c>
      <c r="C80" s="29">
        <f>IF(A80&gt;$B$5+$B$6+$B$7,0,IF(A80&lt;=$B$6,$H$6*$B$9^$I$6,IF(A80&lt;=$B$6+$B$7,$H$6*$B$10^$I$6,$H$6*$B$11^$I$6)))</f>
        <v/>
      </c>
      <c r="D80" s="29">
        <f>IF(A80&gt;$B$5+$B$6+$B$7,0,IF(A80=1,0,$B$14))</f>
        <v/>
      </c>
      <c r="E80" s="29">
        <f>IF(A80&gt;$B$5+$B$6+$B$7,0,IF(A80&gt;$B$6+$B$7,-$B$14-$B$13/C80,IF(A80&gt;$B$6,-$B$14-$B$13*$B$15/C80,-$B$14-($B$13*$B$15+$B$12)/C80)))</f>
        <v/>
      </c>
      <c r="F80" s="29">
        <f>IF(A80&gt;$B$5+$B$6+$B$7,0,IF(A80+1&gt;$B$5+$B$6+$B$7,0,IF(A80&gt;$B$6+$B$7,$B$13/C81,IF(A80&gt;=$B$6,$B$13*$B$15/C81,($B$13*$B$15+$B$12)/C81))))</f>
        <v/>
      </c>
      <c r="G80" s="29">
        <f>IF(A80&gt;$B$5+$B$6+$B$7,0,IF(A80=$B$6,-$M$6*$B$12,0))</f>
        <v/>
      </c>
      <c r="H80" s="29">
        <f>IF(A80&gt;$B$5+$B$6+$B$7,0,F80/(E80-D80*H79))</f>
        <v/>
      </c>
      <c r="I80" s="29">
        <f>IF(A80&gt;$B$5+$B$6+$B$7,0,(G80-D80*I79)/(E80-D80*H79))</f>
        <v/>
      </c>
      <c r="J80" s="30">
        <f>IF(A80&gt;$B$5+$B$6+$B$7,0,I80-H80*J81)</f>
        <v/>
      </c>
      <c r="K80" s="29">
        <f>IF(A80&gt;$B$5+$B$6+$B$7,0,IF(A80&lt;=$B$6,$H$7*$B$9^$I$7,IF(A80&lt;=$B$6+$B$7,$H$7*$B$10^$I$7,$H$7*$B$11^$I$7)))</f>
        <v/>
      </c>
      <c r="L80" s="29">
        <f>IF(A80&gt;$B$5+$B$6+$B$7,0,IF(A80=1,0,$B$14))</f>
        <v/>
      </c>
      <c r="M80" s="29">
        <f>IF(A80&gt;$B$5+$B$6+$B$7,0,IF(A80&gt;$B$6+$B$7,-$B$14-$B$13/K80,IF(A80&gt;$B$6,-$B$14-$B$13*$B$15/K80,-$B$14-($B$13*$B$15+$B$12)/K80)))</f>
        <v/>
      </c>
      <c r="N80" s="29">
        <f>IF(A80&gt;$B$5+$B$6+$B$7,0,IF(A80+1&gt;$B$5+$B$6+$B$7,0,IF(A80&gt;$B$6+$B$7,$B$13/K81,IF(A80&gt;=$B$6,$B$13*$B$15/K81,($B$13*$B$15+$B$12)/K81))))</f>
        <v/>
      </c>
      <c r="O80" s="29">
        <f>IF(A80&gt;$B$5+$B$6+$B$7,0,IF(A80=$B$6,-$M$7*$B$12,0))</f>
        <v/>
      </c>
      <c r="P80" s="29">
        <f>IF(A80&gt;$B$5+$B$6+$B$7,0,N80/(M80-L80*P79))</f>
        <v/>
      </c>
      <c r="Q80" s="29">
        <f>IF(A80&gt;$B$5+$B$6+$B$7,0,(O80-L80*Q79)/(M80-L80*P79))</f>
        <v/>
      </c>
      <c r="R80" s="30">
        <f>IF(A80&gt;$B$5+$B$6+$B$7,0,Q80-P80*R81)</f>
        <v/>
      </c>
      <c r="S80" s="29">
        <f>IF(A80&gt;$B$5+$B$6+$B$7,0,IF(A80&lt;=$B$6,$H$8*$B$9^$I$8,IF(A80&lt;=$B$6+$B$7,$H$8*$B$10^$I$8,$H$8*$B$11^$I$8)))</f>
        <v/>
      </c>
      <c r="T80" s="29">
        <f>IF(A80&gt;$B$5+$B$6+$B$7,0,IF(A80=1,0,$B$14))</f>
        <v/>
      </c>
      <c r="U80" s="29">
        <f>IF(A80&gt;$B$5+$B$6+$B$7,0,IF(A80&gt;$B$6+$B$7,-$B$14-$B$13/S80,IF(A80&gt;$B$6,-$B$14-$B$13*$B$15/S80,-$B$14-($B$13*$B$15+$B$12)/S80)))</f>
        <v/>
      </c>
      <c r="V80" s="29">
        <f>IF(A80&gt;$B$5+$B$6+$B$7,0,IF(A80+1&gt;$B$5+$B$6+$B$7,0,IF(A80&gt;$B$6+$B$7,$B$13/S81,IF(A80&gt;=$B$6,$B$13*$B$15/S81,($B$13*$B$15+$B$12)/S81))))</f>
        <v/>
      </c>
      <c r="W80" s="29">
        <f>IF(A80&gt;$B$5+$B$6+$B$7,0,IF(A80=$B$6,-$M$8*$B$12,0))</f>
        <v/>
      </c>
      <c r="X80" s="29">
        <f>IF(A80&gt;$B$5+$B$6+$B$7,0,V80/(U80-T80*X79))</f>
        <v/>
      </c>
      <c r="Y80" s="29">
        <f>IF(A80&gt;$B$5+$B$6+$B$7,0,(W80-T80*Y79)/(U80-T80*X79))</f>
        <v/>
      </c>
      <c r="Z80" s="30">
        <f>IF(A80&gt;$B$5+$B$6+$B$7,0,Y80-X80*Z81)</f>
        <v/>
      </c>
      <c r="AA80" s="29">
        <f>IF(A80&gt;$B$5+$B$6+$B$7,0,IF(A80&lt;=$B$6,$H$9*$B$9^$I$9,IF(A80&lt;=$B$6+$B$7,$H$9*$B$10^$I$9,$H$9*$B$11^$I$9)))</f>
        <v/>
      </c>
      <c r="AB80" s="29">
        <f>IF(A80&gt;$B$5+$B$6+$B$7,0,IF(A80=1,0,$B$14))</f>
        <v/>
      </c>
      <c r="AC80" s="29">
        <f>IF(A80&gt;$B$5+$B$6+$B$7,0,IF(A80&gt;$B$6+$B$7,-$B$14-$B$13/AA80,IF(A80&gt;$B$6,-$B$14-$B$13*$B$15/AA80,-$B$14-($B$13*$B$15+$B$12)/AA80)))</f>
        <v/>
      </c>
      <c r="AD80" s="29">
        <f>IF(A80&gt;$B$5+$B$6+$B$7,0,IF(A80+1&gt;$B$5+$B$6+$B$7,0,IF(A80&gt;$B$6+$B$7,$B$13/AA81,IF(A80&gt;=$B$6,$B$13*$B$15/AA81,($B$13*$B$15+$B$12)/AA81))))</f>
        <v/>
      </c>
      <c r="AE80" s="29">
        <f>IF(A80&gt;$B$5+$B$6+$B$7,0,IF(A80=$B$6,-$M$9*$B$12,0))</f>
        <v/>
      </c>
      <c r="AF80" s="29">
        <f>IF(A80&gt;$B$5+$B$6+$B$7,0,AD80/(AC80-AB80*AF79))</f>
        <v/>
      </c>
      <c r="AG80" s="29">
        <f>IF(A80&gt;$B$5+$B$6+$B$7,0,(AE80-AB80*AG79)/(AC80-AB80*AF79))</f>
        <v/>
      </c>
      <c r="AH80" s="30">
        <f>IF(A80&gt;$B$5+$B$6+$B$7,0,AG80-AF80*AH81)</f>
        <v/>
      </c>
      <c r="AI80" s="31">
        <f>IF(A80&gt;$B$5+$B$6+$B$7,0,IF(C80&lt;&gt;0,J80/C80,0))</f>
        <v/>
      </c>
      <c r="AJ80" s="31">
        <f>IF(A80&gt;$B$5+$B$6+$B$7,0,IF(K80&lt;&gt;0,R80/K80,0))</f>
        <v/>
      </c>
      <c r="AK80" s="31">
        <f>IF(A80&gt;$B$5+$B$6+$B$7,0,IF(S80&lt;&gt;0,Z80/S80,0))</f>
        <v/>
      </c>
      <c r="AL80" s="31">
        <f>IF(A80&gt;$B$5+$B$6+$B$7,0,IF(AA80&lt;&gt;0,AH80/AA80,0))</f>
        <v/>
      </c>
      <c r="AM80" s="30">
        <f>J80+R80+Z80+AH80</f>
        <v/>
      </c>
      <c r="AN80" s="30">
        <f>AI80+AJ80+AK80+AL80</f>
        <v/>
      </c>
    </row>
    <row r="81">
      <c r="A81" s="27" t="n">
        <v>62</v>
      </c>
      <c r="B81" s="28">
        <f>IF(A81&gt;$B$5+$B$6+$B$7,"—",IF(A81&lt;=$B$6,"Extraction",IF(A81&lt;=$B$6+$B$7,"Scrub","Strip")))</f>
        <v/>
      </c>
      <c r="C81" s="29">
        <f>IF(A81&gt;$B$5+$B$6+$B$7,0,IF(A81&lt;=$B$6,$H$6*$B$9^$I$6,IF(A81&lt;=$B$6+$B$7,$H$6*$B$10^$I$6,$H$6*$B$11^$I$6)))</f>
        <v/>
      </c>
      <c r="D81" s="29">
        <f>IF(A81&gt;$B$5+$B$6+$B$7,0,IF(A81=1,0,$B$14))</f>
        <v/>
      </c>
      <c r="E81" s="29">
        <f>IF(A81&gt;$B$5+$B$6+$B$7,0,IF(A81&gt;$B$6+$B$7,-$B$14-$B$13/C81,IF(A81&gt;$B$6,-$B$14-$B$13*$B$15/C81,-$B$14-($B$13*$B$15+$B$12)/C81)))</f>
        <v/>
      </c>
      <c r="F81" s="29">
        <f>IF(A81&gt;$B$5+$B$6+$B$7,0,IF(A81+1&gt;$B$5+$B$6+$B$7,0,IF(A81&gt;$B$6+$B$7,$B$13/C82,IF(A81&gt;=$B$6,$B$13*$B$15/C82,($B$13*$B$15+$B$12)/C82))))</f>
        <v/>
      </c>
      <c r="G81" s="29">
        <f>IF(A81&gt;$B$5+$B$6+$B$7,0,IF(A81=$B$6,-$M$6*$B$12,0))</f>
        <v/>
      </c>
      <c r="H81" s="29">
        <f>IF(A81&gt;$B$5+$B$6+$B$7,0,F81/(E81-D81*H80))</f>
        <v/>
      </c>
      <c r="I81" s="29">
        <f>IF(A81&gt;$B$5+$B$6+$B$7,0,(G81-D81*I80)/(E81-D81*H80))</f>
        <v/>
      </c>
      <c r="J81" s="30">
        <f>IF(A81&gt;$B$5+$B$6+$B$7,0,I81-H81*J82)</f>
        <v/>
      </c>
      <c r="K81" s="29">
        <f>IF(A81&gt;$B$5+$B$6+$B$7,0,IF(A81&lt;=$B$6,$H$7*$B$9^$I$7,IF(A81&lt;=$B$6+$B$7,$H$7*$B$10^$I$7,$H$7*$B$11^$I$7)))</f>
        <v/>
      </c>
      <c r="L81" s="29">
        <f>IF(A81&gt;$B$5+$B$6+$B$7,0,IF(A81=1,0,$B$14))</f>
        <v/>
      </c>
      <c r="M81" s="29">
        <f>IF(A81&gt;$B$5+$B$6+$B$7,0,IF(A81&gt;$B$6+$B$7,-$B$14-$B$13/K81,IF(A81&gt;$B$6,-$B$14-$B$13*$B$15/K81,-$B$14-($B$13*$B$15+$B$12)/K81)))</f>
        <v/>
      </c>
      <c r="N81" s="29">
        <f>IF(A81&gt;$B$5+$B$6+$B$7,0,IF(A81+1&gt;$B$5+$B$6+$B$7,0,IF(A81&gt;$B$6+$B$7,$B$13/K82,IF(A81&gt;=$B$6,$B$13*$B$15/K82,($B$13*$B$15+$B$12)/K82))))</f>
        <v/>
      </c>
      <c r="O81" s="29">
        <f>IF(A81&gt;$B$5+$B$6+$B$7,0,IF(A81=$B$6,-$M$7*$B$12,0))</f>
        <v/>
      </c>
      <c r="P81" s="29">
        <f>IF(A81&gt;$B$5+$B$6+$B$7,0,N81/(M81-L81*P80))</f>
        <v/>
      </c>
      <c r="Q81" s="29">
        <f>IF(A81&gt;$B$5+$B$6+$B$7,0,(O81-L81*Q80)/(M81-L81*P80))</f>
        <v/>
      </c>
      <c r="R81" s="30">
        <f>IF(A81&gt;$B$5+$B$6+$B$7,0,Q81-P81*R82)</f>
        <v/>
      </c>
      <c r="S81" s="29">
        <f>IF(A81&gt;$B$5+$B$6+$B$7,0,IF(A81&lt;=$B$6,$H$8*$B$9^$I$8,IF(A81&lt;=$B$6+$B$7,$H$8*$B$10^$I$8,$H$8*$B$11^$I$8)))</f>
        <v/>
      </c>
      <c r="T81" s="29">
        <f>IF(A81&gt;$B$5+$B$6+$B$7,0,IF(A81=1,0,$B$14))</f>
        <v/>
      </c>
      <c r="U81" s="29">
        <f>IF(A81&gt;$B$5+$B$6+$B$7,0,IF(A81&gt;$B$6+$B$7,-$B$14-$B$13/S81,IF(A81&gt;$B$6,-$B$14-$B$13*$B$15/S81,-$B$14-($B$13*$B$15+$B$12)/S81)))</f>
        <v/>
      </c>
      <c r="V81" s="29">
        <f>IF(A81&gt;$B$5+$B$6+$B$7,0,IF(A81+1&gt;$B$5+$B$6+$B$7,0,IF(A81&gt;$B$6+$B$7,$B$13/S82,IF(A81&gt;=$B$6,$B$13*$B$15/S82,($B$13*$B$15+$B$12)/S82))))</f>
        <v/>
      </c>
      <c r="W81" s="29">
        <f>IF(A81&gt;$B$5+$B$6+$B$7,0,IF(A81=$B$6,-$M$8*$B$12,0))</f>
        <v/>
      </c>
      <c r="X81" s="29">
        <f>IF(A81&gt;$B$5+$B$6+$B$7,0,V81/(U81-T81*X80))</f>
        <v/>
      </c>
      <c r="Y81" s="29">
        <f>IF(A81&gt;$B$5+$B$6+$B$7,0,(W81-T81*Y80)/(U81-T81*X80))</f>
        <v/>
      </c>
      <c r="Z81" s="30">
        <f>IF(A81&gt;$B$5+$B$6+$B$7,0,Y81-X81*Z82)</f>
        <v/>
      </c>
      <c r="AA81" s="29">
        <f>IF(A81&gt;$B$5+$B$6+$B$7,0,IF(A81&lt;=$B$6,$H$9*$B$9^$I$9,IF(A81&lt;=$B$6+$B$7,$H$9*$B$10^$I$9,$H$9*$B$11^$I$9)))</f>
        <v/>
      </c>
      <c r="AB81" s="29">
        <f>IF(A81&gt;$B$5+$B$6+$B$7,0,IF(A81=1,0,$B$14))</f>
        <v/>
      </c>
      <c r="AC81" s="29">
        <f>IF(A81&gt;$B$5+$B$6+$B$7,0,IF(A81&gt;$B$6+$B$7,-$B$14-$B$13/AA81,IF(A81&gt;$B$6,-$B$14-$B$13*$B$15/AA81,-$B$14-($B$13*$B$15+$B$12)/AA81)))</f>
        <v/>
      </c>
      <c r="AD81" s="29">
        <f>IF(A81&gt;$B$5+$B$6+$B$7,0,IF(A81+1&gt;$B$5+$B$6+$B$7,0,IF(A81&gt;$B$6+$B$7,$B$13/AA82,IF(A81&gt;=$B$6,$B$13*$B$15/AA82,($B$13*$B$15+$B$12)/AA82))))</f>
        <v/>
      </c>
      <c r="AE81" s="29">
        <f>IF(A81&gt;$B$5+$B$6+$B$7,0,IF(A81=$B$6,-$M$9*$B$12,0))</f>
        <v/>
      </c>
      <c r="AF81" s="29">
        <f>IF(A81&gt;$B$5+$B$6+$B$7,0,AD81/(AC81-AB81*AF80))</f>
        <v/>
      </c>
      <c r="AG81" s="29">
        <f>IF(A81&gt;$B$5+$B$6+$B$7,0,(AE81-AB81*AG80)/(AC81-AB81*AF80))</f>
        <v/>
      </c>
      <c r="AH81" s="30">
        <f>IF(A81&gt;$B$5+$B$6+$B$7,0,AG81-AF81*AH82)</f>
        <v/>
      </c>
      <c r="AI81" s="31">
        <f>IF(A81&gt;$B$5+$B$6+$B$7,0,IF(C81&lt;&gt;0,J81/C81,0))</f>
        <v/>
      </c>
      <c r="AJ81" s="31">
        <f>IF(A81&gt;$B$5+$B$6+$B$7,0,IF(K81&lt;&gt;0,R81/K81,0))</f>
        <v/>
      </c>
      <c r="AK81" s="31">
        <f>IF(A81&gt;$B$5+$B$6+$B$7,0,IF(S81&lt;&gt;0,Z81/S81,0))</f>
        <v/>
      </c>
      <c r="AL81" s="31">
        <f>IF(A81&gt;$B$5+$B$6+$B$7,0,IF(AA81&lt;&gt;0,AH81/AA81,0))</f>
        <v/>
      </c>
      <c r="AM81" s="30">
        <f>J81+R81+Z81+AH81</f>
        <v/>
      </c>
      <c r="AN81" s="30">
        <f>AI81+AJ81+AK81+AL81</f>
        <v/>
      </c>
    </row>
    <row r="82">
      <c r="A82" s="27" t="n">
        <v>63</v>
      </c>
      <c r="B82" s="28">
        <f>IF(A82&gt;$B$5+$B$6+$B$7,"—",IF(A82&lt;=$B$6,"Extraction",IF(A82&lt;=$B$6+$B$7,"Scrub","Strip")))</f>
        <v/>
      </c>
      <c r="C82" s="29">
        <f>IF(A82&gt;$B$5+$B$6+$B$7,0,IF(A82&lt;=$B$6,$H$6*$B$9^$I$6,IF(A82&lt;=$B$6+$B$7,$H$6*$B$10^$I$6,$H$6*$B$11^$I$6)))</f>
        <v/>
      </c>
      <c r="D82" s="29">
        <f>IF(A82&gt;$B$5+$B$6+$B$7,0,IF(A82=1,0,$B$14))</f>
        <v/>
      </c>
      <c r="E82" s="29">
        <f>IF(A82&gt;$B$5+$B$6+$B$7,0,IF(A82&gt;$B$6+$B$7,-$B$14-$B$13/C82,IF(A82&gt;$B$6,-$B$14-$B$13*$B$15/C82,-$B$14-($B$13*$B$15+$B$12)/C82)))</f>
        <v/>
      </c>
      <c r="F82" s="29">
        <f>IF(A82&gt;$B$5+$B$6+$B$7,0,IF(A82+1&gt;$B$5+$B$6+$B$7,0,IF(A82&gt;$B$6+$B$7,$B$13/C83,IF(A82&gt;=$B$6,$B$13*$B$15/C83,($B$13*$B$15+$B$12)/C83))))</f>
        <v/>
      </c>
      <c r="G82" s="29">
        <f>IF(A82&gt;$B$5+$B$6+$B$7,0,IF(A82=$B$6,-$M$6*$B$12,0))</f>
        <v/>
      </c>
      <c r="H82" s="29">
        <f>IF(A82&gt;$B$5+$B$6+$B$7,0,F82/(E82-D82*H81))</f>
        <v/>
      </c>
      <c r="I82" s="29">
        <f>IF(A82&gt;$B$5+$B$6+$B$7,0,(G82-D82*I81)/(E82-D82*H81))</f>
        <v/>
      </c>
      <c r="J82" s="30">
        <f>IF(A82&gt;$B$5+$B$6+$B$7,0,I82-H82*J83)</f>
        <v/>
      </c>
      <c r="K82" s="29">
        <f>IF(A82&gt;$B$5+$B$6+$B$7,0,IF(A82&lt;=$B$6,$H$7*$B$9^$I$7,IF(A82&lt;=$B$6+$B$7,$H$7*$B$10^$I$7,$H$7*$B$11^$I$7)))</f>
        <v/>
      </c>
      <c r="L82" s="29">
        <f>IF(A82&gt;$B$5+$B$6+$B$7,0,IF(A82=1,0,$B$14))</f>
        <v/>
      </c>
      <c r="M82" s="29">
        <f>IF(A82&gt;$B$5+$B$6+$B$7,0,IF(A82&gt;$B$6+$B$7,-$B$14-$B$13/K82,IF(A82&gt;$B$6,-$B$14-$B$13*$B$15/K82,-$B$14-($B$13*$B$15+$B$12)/K82)))</f>
        <v/>
      </c>
      <c r="N82" s="29">
        <f>IF(A82&gt;$B$5+$B$6+$B$7,0,IF(A82+1&gt;$B$5+$B$6+$B$7,0,IF(A82&gt;$B$6+$B$7,$B$13/K83,IF(A82&gt;=$B$6,$B$13*$B$15/K83,($B$13*$B$15+$B$12)/K83))))</f>
        <v/>
      </c>
      <c r="O82" s="29">
        <f>IF(A82&gt;$B$5+$B$6+$B$7,0,IF(A82=$B$6,-$M$7*$B$12,0))</f>
        <v/>
      </c>
      <c r="P82" s="29">
        <f>IF(A82&gt;$B$5+$B$6+$B$7,0,N82/(M82-L82*P81))</f>
        <v/>
      </c>
      <c r="Q82" s="29">
        <f>IF(A82&gt;$B$5+$B$6+$B$7,0,(O82-L82*Q81)/(M82-L82*P81))</f>
        <v/>
      </c>
      <c r="R82" s="30">
        <f>IF(A82&gt;$B$5+$B$6+$B$7,0,Q82-P82*R83)</f>
        <v/>
      </c>
      <c r="S82" s="29">
        <f>IF(A82&gt;$B$5+$B$6+$B$7,0,IF(A82&lt;=$B$6,$H$8*$B$9^$I$8,IF(A82&lt;=$B$6+$B$7,$H$8*$B$10^$I$8,$H$8*$B$11^$I$8)))</f>
        <v/>
      </c>
      <c r="T82" s="29">
        <f>IF(A82&gt;$B$5+$B$6+$B$7,0,IF(A82=1,0,$B$14))</f>
        <v/>
      </c>
      <c r="U82" s="29">
        <f>IF(A82&gt;$B$5+$B$6+$B$7,0,IF(A82&gt;$B$6+$B$7,-$B$14-$B$13/S82,IF(A82&gt;$B$6,-$B$14-$B$13*$B$15/S82,-$B$14-($B$13*$B$15+$B$12)/S82)))</f>
        <v/>
      </c>
      <c r="V82" s="29">
        <f>IF(A82&gt;$B$5+$B$6+$B$7,0,IF(A82+1&gt;$B$5+$B$6+$B$7,0,IF(A82&gt;$B$6+$B$7,$B$13/S83,IF(A82&gt;=$B$6,$B$13*$B$15/S83,($B$13*$B$15+$B$12)/S83))))</f>
        <v/>
      </c>
      <c r="W82" s="29">
        <f>IF(A82&gt;$B$5+$B$6+$B$7,0,IF(A82=$B$6,-$M$8*$B$12,0))</f>
        <v/>
      </c>
      <c r="X82" s="29">
        <f>IF(A82&gt;$B$5+$B$6+$B$7,0,V82/(U82-T82*X81))</f>
        <v/>
      </c>
      <c r="Y82" s="29">
        <f>IF(A82&gt;$B$5+$B$6+$B$7,0,(W82-T82*Y81)/(U82-T82*X81))</f>
        <v/>
      </c>
      <c r="Z82" s="30">
        <f>IF(A82&gt;$B$5+$B$6+$B$7,0,Y82-X82*Z83)</f>
        <v/>
      </c>
      <c r="AA82" s="29">
        <f>IF(A82&gt;$B$5+$B$6+$B$7,0,IF(A82&lt;=$B$6,$H$9*$B$9^$I$9,IF(A82&lt;=$B$6+$B$7,$H$9*$B$10^$I$9,$H$9*$B$11^$I$9)))</f>
        <v/>
      </c>
      <c r="AB82" s="29">
        <f>IF(A82&gt;$B$5+$B$6+$B$7,0,IF(A82=1,0,$B$14))</f>
        <v/>
      </c>
      <c r="AC82" s="29">
        <f>IF(A82&gt;$B$5+$B$6+$B$7,0,IF(A82&gt;$B$6+$B$7,-$B$14-$B$13/AA82,IF(A82&gt;$B$6,-$B$14-$B$13*$B$15/AA82,-$B$14-($B$13*$B$15+$B$12)/AA82)))</f>
        <v/>
      </c>
      <c r="AD82" s="29">
        <f>IF(A82&gt;$B$5+$B$6+$B$7,0,IF(A82+1&gt;$B$5+$B$6+$B$7,0,IF(A82&gt;$B$6+$B$7,$B$13/AA83,IF(A82&gt;=$B$6,$B$13*$B$15/AA83,($B$13*$B$15+$B$12)/AA83))))</f>
        <v/>
      </c>
      <c r="AE82" s="29">
        <f>IF(A82&gt;$B$5+$B$6+$B$7,0,IF(A82=$B$6,-$M$9*$B$12,0))</f>
        <v/>
      </c>
      <c r="AF82" s="29">
        <f>IF(A82&gt;$B$5+$B$6+$B$7,0,AD82/(AC82-AB82*AF81))</f>
        <v/>
      </c>
      <c r="AG82" s="29">
        <f>IF(A82&gt;$B$5+$B$6+$B$7,0,(AE82-AB82*AG81)/(AC82-AB82*AF81))</f>
        <v/>
      </c>
      <c r="AH82" s="30">
        <f>IF(A82&gt;$B$5+$B$6+$B$7,0,AG82-AF82*AH83)</f>
        <v/>
      </c>
      <c r="AI82" s="31">
        <f>IF(A82&gt;$B$5+$B$6+$B$7,0,IF(C82&lt;&gt;0,J82/C82,0))</f>
        <v/>
      </c>
      <c r="AJ82" s="31">
        <f>IF(A82&gt;$B$5+$B$6+$B$7,0,IF(K82&lt;&gt;0,R82/K82,0))</f>
        <v/>
      </c>
      <c r="AK82" s="31">
        <f>IF(A82&gt;$B$5+$B$6+$B$7,0,IF(S82&lt;&gt;0,Z82/S82,0))</f>
        <v/>
      </c>
      <c r="AL82" s="31">
        <f>IF(A82&gt;$B$5+$B$6+$B$7,0,IF(AA82&lt;&gt;0,AH82/AA82,0))</f>
        <v/>
      </c>
      <c r="AM82" s="30">
        <f>J82+R82+Z82+AH82</f>
        <v/>
      </c>
      <c r="AN82" s="30">
        <f>AI82+AJ82+AK82+AL82</f>
        <v/>
      </c>
    </row>
    <row r="83">
      <c r="A83" s="27" t="n">
        <v>64</v>
      </c>
      <c r="B83" s="28">
        <f>IF(A83&gt;$B$5+$B$6+$B$7,"—",IF(A83&lt;=$B$6,"Extraction",IF(A83&lt;=$B$6+$B$7,"Scrub","Strip")))</f>
        <v/>
      </c>
      <c r="C83" s="29">
        <f>IF(A83&gt;$B$5+$B$6+$B$7,0,IF(A83&lt;=$B$6,$H$6*$B$9^$I$6,IF(A83&lt;=$B$6+$B$7,$H$6*$B$10^$I$6,$H$6*$B$11^$I$6)))</f>
        <v/>
      </c>
      <c r="D83" s="29">
        <f>IF(A83&gt;$B$5+$B$6+$B$7,0,IF(A83=1,0,$B$14))</f>
        <v/>
      </c>
      <c r="E83" s="29">
        <f>IF(A83&gt;$B$5+$B$6+$B$7,0,IF(A83&gt;$B$6+$B$7,-$B$14-$B$13/C83,IF(A83&gt;$B$6,-$B$14-$B$13*$B$15/C83,-$B$14-($B$13*$B$15+$B$12)/C83)))</f>
        <v/>
      </c>
      <c r="F83" s="29">
        <f>IF(A83&gt;$B$5+$B$6+$B$7,0,IF(A83+1&gt;$B$5+$B$6+$B$7,0,IF(A83&gt;$B$6+$B$7,$B$13/C84,IF(A83&gt;=$B$6,$B$13*$B$15/C84,($B$13*$B$15+$B$12)/C84))))</f>
        <v/>
      </c>
      <c r="G83" s="29">
        <f>IF(A83&gt;$B$5+$B$6+$B$7,0,IF(A83=$B$6,-$M$6*$B$12,0))</f>
        <v/>
      </c>
      <c r="H83" s="29">
        <f>IF(A83&gt;$B$5+$B$6+$B$7,0,F83/(E83-D83*H82))</f>
        <v/>
      </c>
      <c r="I83" s="29">
        <f>IF(A83&gt;$B$5+$B$6+$B$7,0,(G83-D83*I82)/(E83-D83*H82))</f>
        <v/>
      </c>
      <c r="J83" s="30">
        <f>IF(A83&gt;$B$5+$B$6+$B$7,0,I83-H83*J84)</f>
        <v/>
      </c>
      <c r="K83" s="29">
        <f>IF(A83&gt;$B$5+$B$6+$B$7,0,IF(A83&lt;=$B$6,$H$7*$B$9^$I$7,IF(A83&lt;=$B$6+$B$7,$H$7*$B$10^$I$7,$H$7*$B$11^$I$7)))</f>
        <v/>
      </c>
      <c r="L83" s="29">
        <f>IF(A83&gt;$B$5+$B$6+$B$7,0,IF(A83=1,0,$B$14))</f>
        <v/>
      </c>
      <c r="M83" s="29">
        <f>IF(A83&gt;$B$5+$B$6+$B$7,0,IF(A83&gt;$B$6+$B$7,-$B$14-$B$13/K83,IF(A83&gt;$B$6,-$B$14-$B$13*$B$15/K83,-$B$14-($B$13*$B$15+$B$12)/K83)))</f>
        <v/>
      </c>
      <c r="N83" s="29">
        <f>IF(A83&gt;$B$5+$B$6+$B$7,0,IF(A83+1&gt;$B$5+$B$6+$B$7,0,IF(A83&gt;$B$6+$B$7,$B$13/K84,IF(A83&gt;=$B$6,$B$13*$B$15/K84,($B$13*$B$15+$B$12)/K84))))</f>
        <v/>
      </c>
      <c r="O83" s="29">
        <f>IF(A83&gt;$B$5+$B$6+$B$7,0,IF(A83=$B$6,-$M$7*$B$12,0))</f>
        <v/>
      </c>
      <c r="P83" s="29">
        <f>IF(A83&gt;$B$5+$B$6+$B$7,0,N83/(M83-L83*P82))</f>
        <v/>
      </c>
      <c r="Q83" s="29">
        <f>IF(A83&gt;$B$5+$B$6+$B$7,0,(O83-L83*Q82)/(M83-L83*P82))</f>
        <v/>
      </c>
      <c r="R83" s="30">
        <f>IF(A83&gt;$B$5+$B$6+$B$7,0,Q83-P83*R84)</f>
        <v/>
      </c>
      <c r="S83" s="29">
        <f>IF(A83&gt;$B$5+$B$6+$B$7,0,IF(A83&lt;=$B$6,$H$8*$B$9^$I$8,IF(A83&lt;=$B$6+$B$7,$H$8*$B$10^$I$8,$H$8*$B$11^$I$8)))</f>
        <v/>
      </c>
      <c r="T83" s="29">
        <f>IF(A83&gt;$B$5+$B$6+$B$7,0,IF(A83=1,0,$B$14))</f>
        <v/>
      </c>
      <c r="U83" s="29">
        <f>IF(A83&gt;$B$5+$B$6+$B$7,0,IF(A83&gt;$B$6+$B$7,-$B$14-$B$13/S83,IF(A83&gt;$B$6,-$B$14-$B$13*$B$15/S83,-$B$14-($B$13*$B$15+$B$12)/S83)))</f>
        <v/>
      </c>
      <c r="V83" s="29">
        <f>IF(A83&gt;$B$5+$B$6+$B$7,0,IF(A83+1&gt;$B$5+$B$6+$B$7,0,IF(A83&gt;$B$6+$B$7,$B$13/S84,IF(A83&gt;=$B$6,$B$13*$B$15/S84,($B$13*$B$15+$B$12)/S84))))</f>
        <v/>
      </c>
      <c r="W83" s="29">
        <f>IF(A83&gt;$B$5+$B$6+$B$7,0,IF(A83=$B$6,-$M$8*$B$12,0))</f>
        <v/>
      </c>
      <c r="X83" s="29">
        <f>IF(A83&gt;$B$5+$B$6+$B$7,0,V83/(U83-T83*X82))</f>
        <v/>
      </c>
      <c r="Y83" s="29">
        <f>IF(A83&gt;$B$5+$B$6+$B$7,0,(W83-T83*Y82)/(U83-T83*X82))</f>
        <v/>
      </c>
      <c r="Z83" s="30">
        <f>IF(A83&gt;$B$5+$B$6+$B$7,0,Y83-X83*Z84)</f>
        <v/>
      </c>
      <c r="AA83" s="29">
        <f>IF(A83&gt;$B$5+$B$6+$B$7,0,IF(A83&lt;=$B$6,$H$9*$B$9^$I$9,IF(A83&lt;=$B$6+$B$7,$H$9*$B$10^$I$9,$H$9*$B$11^$I$9)))</f>
        <v/>
      </c>
      <c r="AB83" s="29">
        <f>IF(A83&gt;$B$5+$B$6+$B$7,0,IF(A83=1,0,$B$14))</f>
        <v/>
      </c>
      <c r="AC83" s="29">
        <f>IF(A83&gt;$B$5+$B$6+$B$7,0,IF(A83&gt;$B$6+$B$7,-$B$14-$B$13/AA83,IF(A83&gt;$B$6,-$B$14-$B$13*$B$15/AA83,-$B$14-($B$13*$B$15+$B$12)/AA83)))</f>
        <v/>
      </c>
      <c r="AD83" s="29">
        <f>IF(A83&gt;$B$5+$B$6+$B$7,0,IF(A83+1&gt;$B$5+$B$6+$B$7,0,IF(A83&gt;$B$6+$B$7,$B$13/AA84,IF(A83&gt;=$B$6,$B$13*$B$15/AA84,($B$13*$B$15+$B$12)/AA84))))</f>
        <v/>
      </c>
      <c r="AE83" s="29">
        <f>IF(A83&gt;$B$5+$B$6+$B$7,0,IF(A83=$B$6,-$M$9*$B$12,0))</f>
        <v/>
      </c>
      <c r="AF83" s="29">
        <f>IF(A83&gt;$B$5+$B$6+$B$7,0,AD83/(AC83-AB83*AF82))</f>
        <v/>
      </c>
      <c r="AG83" s="29">
        <f>IF(A83&gt;$B$5+$B$6+$B$7,0,(AE83-AB83*AG82)/(AC83-AB83*AF82))</f>
        <v/>
      </c>
      <c r="AH83" s="30">
        <f>IF(A83&gt;$B$5+$B$6+$B$7,0,AG83-AF83*AH84)</f>
        <v/>
      </c>
      <c r="AI83" s="31">
        <f>IF(A83&gt;$B$5+$B$6+$B$7,0,IF(C83&lt;&gt;0,J83/C83,0))</f>
        <v/>
      </c>
      <c r="AJ83" s="31">
        <f>IF(A83&gt;$B$5+$B$6+$B$7,0,IF(K83&lt;&gt;0,R83/K83,0))</f>
        <v/>
      </c>
      <c r="AK83" s="31">
        <f>IF(A83&gt;$B$5+$B$6+$B$7,0,IF(S83&lt;&gt;0,Z83/S83,0))</f>
        <v/>
      </c>
      <c r="AL83" s="31">
        <f>IF(A83&gt;$B$5+$B$6+$B$7,0,IF(AA83&lt;&gt;0,AH83/AA83,0))</f>
        <v/>
      </c>
      <c r="AM83" s="30">
        <f>J83+R83+Z83+AH83</f>
        <v/>
      </c>
      <c r="AN83" s="30">
        <f>AI83+AJ83+AK83+AL83</f>
        <v/>
      </c>
    </row>
    <row r="84">
      <c r="A84" s="27" t="n">
        <v>65</v>
      </c>
      <c r="B84" s="28">
        <f>IF(A84&gt;$B$5+$B$6+$B$7,"—",IF(A84&lt;=$B$6,"Extraction",IF(A84&lt;=$B$6+$B$7,"Scrub","Strip")))</f>
        <v/>
      </c>
      <c r="C84" s="29">
        <f>IF(A84&gt;$B$5+$B$6+$B$7,0,IF(A84&lt;=$B$6,$H$6*$B$9^$I$6,IF(A84&lt;=$B$6+$B$7,$H$6*$B$10^$I$6,$H$6*$B$11^$I$6)))</f>
        <v/>
      </c>
      <c r="D84" s="29">
        <f>IF(A84&gt;$B$5+$B$6+$B$7,0,IF(A84=1,0,$B$14))</f>
        <v/>
      </c>
      <c r="E84" s="29">
        <f>IF(A84&gt;$B$5+$B$6+$B$7,0,IF(A84&gt;$B$6+$B$7,-$B$14-$B$13/C84,IF(A84&gt;$B$6,-$B$14-$B$13*$B$15/C84,-$B$14-($B$13*$B$15+$B$12)/C84)))</f>
        <v/>
      </c>
      <c r="F84" s="29">
        <f>IF(A84&gt;$B$5+$B$6+$B$7,0,IF(A84+1&gt;$B$5+$B$6+$B$7,0,IF(A84&gt;$B$6+$B$7,$B$13/C85,IF(A84&gt;=$B$6,$B$13*$B$15/C85,($B$13*$B$15+$B$12)/C85))))</f>
        <v/>
      </c>
      <c r="G84" s="29">
        <f>IF(A84&gt;$B$5+$B$6+$B$7,0,IF(A84=$B$6,-$M$6*$B$12,0))</f>
        <v/>
      </c>
      <c r="H84" s="29">
        <f>IF(A84&gt;$B$5+$B$6+$B$7,0,F84/(E84-D84*H83))</f>
        <v/>
      </c>
      <c r="I84" s="29">
        <f>IF(A84&gt;$B$5+$B$6+$B$7,0,(G84-D84*I83)/(E84-D84*H83))</f>
        <v/>
      </c>
      <c r="J84" s="30">
        <f>IF(A84&gt;$B$5+$B$6+$B$7,0,I84-H84*J85)</f>
        <v/>
      </c>
      <c r="K84" s="29">
        <f>IF(A84&gt;$B$5+$B$6+$B$7,0,IF(A84&lt;=$B$6,$H$7*$B$9^$I$7,IF(A84&lt;=$B$6+$B$7,$H$7*$B$10^$I$7,$H$7*$B$11^$I$7)))</f>
        <v/>
      </c>
      <c r="L84" s="29">
        <f>IF(A84&gt;$B$5+$B$6+$B$7,0,IF(A84=1,0,$B$14))</f>
        <v/>
      </c>
      <c r="M84" s="29">
        <f>IF(A84&gt;$B$5+$B$6+$B$7,0,IF(A84&gt;$B$6+$B$7,-$B$14-$B$13/K84,IF(A84&gt;$B$6,-$B$14-$B$13*$B$15/K84,-$B$14-($B$13*$B$15+$B$12)/K84)))</f>
        <v/>
      </c>
      <c r="N84" s="29">
        <f>IF(A84&gt;$B$5+$B$6+$B$7,0,IF(A84+1&gt;$B$5+$B$6+$B$7,0,IF(A84&gt;$B$6+$B$7,$B$13/K85,IF(A84&gt;=$B$6,$B$13*$B$15/K85,($B$13*$B$15+$B$12)/K85))))</f>
        <v/>
      </c>
      <c r="O84" s="29">
        <f>IF(A84&gt;$B$5+$B$6+$B$7,0,IF(A84=$B$6,-$M$7*$B$12,0))</f>
        <v/>
      </c>
      <c r="P84" s="29">
        <f>IF(A84&gt;$B$5+$B$6+$B$7,0,N84/(M84-L84*P83))</f>
        <v/>
      </c>
      <c r="Q84" s="29">
        <f>IF(A84&gt;$B$5+$B$6+$B$7,0,(O84-L84*Q83)/(M84-L84*P83))</f>
        <v/>
      </c>
      <c r="R84" s="30">
        <f>IF(A84&gt;$B$5+$B$6+$B$7,0,Q84-P84*R85)</f>
        <v/>
      </c>
      <c r="S84" s="29">
        <f>IF(A84&gt;$B$5+$B$6+$B$7,0,IF(A84&lt;=$B$6,$H$8*$B$9^$I$8,IF(A84&lt;=$B$6+$B$7,$H$8*$B$10^$I$8,$H$8*$B$11^$I$8)))</f>
        <v/>
      </c>
      <c r="T84" s="29">
        <f>IF(A84&gt;$B$5+$B$6+$B$7,0,IF(A84=1,0,$B$14))</f>
        <v/>
      </c>
      <c r="U84" s="29">
        <f>IF(A84&gt;$B$5+$B$6+$B$7,0,IF(A84&gt;$B$6+$B$7,-$B$14-$B$13/S84,IF(A84&gt;$B$6,-$B$14-$B$13*$B$15/S84,-$B$14-($B$13*$B$15+$B$12)/S84)))</f>
        <v/>
      </c>
      <c r="V84" s="29">
        <f>IF(A84&gt;$B$5+$B$6+$B$7,0,IF(A84+1&gt;$B$5+$B$6+$B$7,0,IF(A84&gt;$B$6+$B$7,$B$13/S85,IF(A84&gt;=$B$6,$B$13*$B$15/S85,($B$13*$B$15+$B$12)/S85))))</f>
        <v/>
      </c>
      <c r="W84" s="29">
        <f>IF(A84&gt;$B$5+$B$6+$B$7,0,IF(A84=$B$6,-$M$8*$B$12,0))</f>
        <v/>
      </c>
      <c r="X84" s="29">
        <f>IF(A84&gt;$B$5+$B$6+$B$7,0,V84/(U84-T84*X83))</f>
        <v/>
      </c>
      <c r="Y84" s="29">
        <f>IF(A84&gt;$B$5+$B$6+$B$7,0,(W84-T84*Y83)/(U84-T84*X83))</f>
        <v/>
      </c>
      <c r="Z84" s="30">
        <f>IF(A84&gt;$B$5+$B$6+$B$7,0,Y84-X84*Z85)</f>
        <v/>
      </c>
      <c r="AA84" s="29">
        <f>IF(A84&gt;$B$5+$B$6+$B$7,0,IF(A84&lt;=$B$6,$H$9*$B$9^$I$9,IF(A84&lt;=$B$6+$B$7,$H$9*$B$10^$I$9,$H$9*$B$11^$I$9)))</f>
        <v/>
      </c>
      <c r="AB84" s="29">
        <f>IF(A84&gt;$B$5+$B$6+$B$7,0,IF(A84=1,0,$B$14))</f>
        <v/>
      </c>
      <c r="AC84" s="29">
        <f>IF(A84&gt;$B$5+$B$6+$B$7,0,IF(A84&gt;$B$6+$B$7,-$B$14-$B$13/AA84,IF(A84&gt;$B$6,-$B$14-$B$13*$B$15/AA84,-$B$14-($B$13*$B$15+$B$12)/AA84)))</f>
        <v/>
      </c>
      <c r="AD84" s="29">
        <f>IF(A84&gt;$B$5+$B$6+$B$7,0,IF(A84+1&gt;$B$5+$B$6+$B$7,0,IF(A84&gt;$B$6+$B$7,$B$13/AA85,IF(A84&gt;=$B$6,$B$13*$B$15/AA85,($B$13*$B$15+$B$12)/AA85))))</f>
        <v/>
      </c>
      <c r="AE84" s="29">
        <f>IF(A84&gt;$B$5+$B$6+$B$7,0,IF(A84=$B$6,-$M$9*$B$12,0))</f>
        <v/>
      </c>
      <c r="AF84" s="29">
        <f>IF(A84&gt;$B$5+$B$6+$B$7,0,AD84/(AC84-AB84*AF83))</f>
        <v/>
      </c>
      <c r="AG84" s="29">
        <f>IF(A84&gt;$B$5+$B$6+$B$7,0,(AE84-AB84*AG83)/(AC84-AB84*AF83))</f>
        <v/>
      </c>
      <c r="AH84" s="30">
        <f>IF(A84&gt;$B$5+$B$6+$B$7,0,AG84-AF84*AH85)</f>
        <v/>
      </c>
      <c r="AI84" s="31">
        <f>IF(A84&gt;$B$5+$B$6+$B$7,0,IF(C84&lt;&gt;0,J84/C84,0))</f>
        <v/>
      </c>
      <c r="AJ84" s="31">
        <f>IF(A84&gt;$B$5+$B$6+$B$7,0,IF(K84&lt;&gt;0,R84/K84,0))</f>
        <v/>
      </c>
      <c r="AK84" s="31">
        <f>IF(A84&gt;$B$5+$B$6+$B$7,0,IF(S84&lt;&gt;0,Z84/S84,0))</f>
        <v/>
      </c>
      <c r="AL84" s="31">
        <f>IF(A84&gt;$B$5+$B$6+$B$7,0,IF(AA84&lt;&gt;0,AH84/AA84,0))</f>
        <v/>
      </c>
      <c r="AM84" s="30">
        <f>J84+R84+Z84+AH84</f>
        <v/>
      </c>
      <c r="AN84" s="30">
        <f>AI84+AJ84+AK84+AL84</f>
        <v/>
      </c>
    </row>
    <row r="85">
      <c r="A85" s="27" t="n">
        <v>66</v>
      </c>
      <c r="B85" s="28">
        <f>IF(A85&gt;$B$5+$B$6+$B$7,"—",IF(A85&lt;=$B$6,"Extraction",IF(A85&lt;=$B$6+$B$7,"Scrub","Strip")))</f>
        <v/>
      </c>
      <c r="C85" s="29">
        <f>IF(A85&gt;$B$5+$B$6+$B$7,0,IF(A85&lt;=$B$6,$H$6*$B$9^$I$6,IF(A85&lt;=$B$6+$B$7,$H$6*$B$10^$I$6,$H$6*$B$11^$I$6)))</f>
        <v/>
      </c>
      <c r="D85" s="29">
        <f>IF(A85&gt;$B$5+$B$6+$B$7,0,IF(A85=1,0,$B$14))</f>
        <v/>
      </c>
      <c r="E85" s="29">
        <f>IF(A85&gt;$B$5+$B$6+$B$7,0,IF(A85&gt;$B$6+$B$7,-$B$14-$B$13/C85,IF(A85&gt;$B$6,-$B$14-$B$13*$B$15/C85,-$B$14-($B$13*$B$15+$B$12)/C85)))</f>
        <v/>
      </c>
      <c r="F85" s="29">
        <f>IF(A85&gt;$B$5+$B$6+$B$7,0,IF(A85+1&gt;$B$5+$B$6+$B$7,0,IF(A85&gt;$B$6+$B$7,$B$13/C86,IF(A85&gt;=$B$6,$B$13*$B$15/C86,($B$13*$B$15+$B$12)/C86))))</f>
        <v/>
      </c>
      <c r="G85" s="29">
        <f>IF(A85&gt;$B$5+$B$6+$B$7,0,IF(A85=$B$6,-$M$6*$B$12,0))</f>
        <v/>
      </c>
      <c r="H85" s="29">
        <f>IF(A85&gt;$B$5+$B$6+$B$7,0,F85/(E85-D85*H84))</f>
        <v/>
      </c>
      <c r="I85" s="29">
        <f>IF(A85&gt;$B$5+$B$6+$B$7,0,(G85-D85*I84)/(E85-D85*H84))</f>
        <v/>
      </c>
      <c r="J85" s="30">
        <f>IF(A85&gt;$B$5+$B$6+$B$7,0,I85-H85*J86)</f>
        <v/>
      </c>
      <c r="K85" s="29">
        <f>IF(A85&gt;$B$5+$B$6+$B$7,0,IF(A85&lt;=$B$6,$H$7*$B$9^$I$7,IF(A85&lt;=$B$6+$B$7,$H$7*$B$10^$I$7,$H$7*$B$11^$I$7)))</f>
        <v/>
      </c>
      <c r="L85" s="29">
        <f>IF(A85&gt;$B$5+$B$6+$B$7,0,IF(A85=1,0,$B$14))</f>
        <v/>
      </c>
      <c r="M85" s="29">
        <f>IF(A85&gt;$B$5+$B$6+$B$7,0,IF(A85&gt;$B$6+$B$7,-$B$14-$B$13/K85,IF(A85&gt;$B$6,-$B$14-$B$13*$B$15/K85,-$B$14-($B$13*$B$15+$B$12)/K85)))</f>
        <v/>
      </c>
      <c r="N85" s="29">
        <f>IF(A85&gt;$B$5+$B$6+$B$7,0,IF(A85+1&gt;$B$5+$B$6+$B$7,0,IF(A85&gt;$B$6+$B$7,$B$13/K86,IF(A85&gt;=$B$6,$B$13*$B$15/K86,($B$13*$B$15+$B$12)/K86))))</f>
        <v/>
      </c>
      <c r="O85" s="29">
        <f>IF(A85&gt;$B$5+$B$6+$B$7,0,IF(A85=$B$6,-$M$7*$B$12,0))</f>
        <v/>
      </c>
      <c r="P85" s="29">
        <f>IF(A85&gt;$B$5+$B$6+$B$7,0,N85/(M85-L85*P84))</f>
        <v/>
      </c>
      <c r="Q85" s="29">
        <f>IF(A85&gt;$B$5+$B$6+$B$7,0,(O85-L85*Q84)/(M85-L85*P84))</f>
        <v/>
      </c>
      <c r="R85" s="30">
        <f>IF(A85&gt;$B$5+$B$6+$B$7,0,Q85-P85*R86)</f>
        <v/>
      </c>
      <c r="S85" s="29">
        <f>IF(A85&gt;$B$5+$B$6+$B$7,0,IF(A85&lt;=$B$6,$H$8*$B$9^$I$8,IF(A85&lt;=$B$6+$B$7,$H$8*$B$10^$I$8,$H$8*$B$11^$I$8)))</f>
        <v/>
      </c>
      <c r="T85" s="29">
        <f>IF(A85&gt;$B$5+$B$6+$B$7,0,IF(A85=1,0,$B$14))</f>
        <v/>
      </c>
      <c r="U85" s="29">
        <f>IF(A85&gt;$B$5+$B$6+$B$7,0,IF(A85&gt;$B$6+$B$7,-$B$14-$B$13/S85,IF(A85&gt;$B$6,-$B$14-$B$13*$B$15/S85,-$B$14-($B$13*$B$15+$B$12)/S85)))</f>
        <v/>
      </c>
      <c r="V85" s="29">
        <f>IF(A85&gt;$B$5+$B$6+$B$7,0,IF(A85+1&gt;$B$5+$B$6+$B$7,0,IF(A85&gt;$B$6+$B$7,$B$13/S86,IF(A85&gt;=$B$6,$B$13*$B$15/S86,($B$13*$B$15+$B$12)/S86))))</f>
        <v/>
      </c>
      <c r="W85" s="29">
        <f>IF(A85&gt;$B$5+$B$6+$B$7,0,IF(A85=$B$6,-$M$8*$B$12,0))</f>
        <v/>
      </c>
      <c r="X85" s="29">
        <f>IF(A85&gt;$B$5+$B$6+$B$7,0,V85/(U85-T85*X84))</f>
        <v/>
      </c>
      <c r="Y85" s="29">
        <f>IF(A85&gt;$B$5+$B$6+$B$7,0,(W85-T85*Y84)/(U85-T85*X84))</f>
        <v/>
      </c>
      <c r="Z85" s="30">
        <f>IF(A85&gt;$B$5+$B$6+$B$7,0,Y85-X85*Z86)</f>
        <v/>
      </c>
      <c r="AA85" s="29">
        <f>IF(A85&gt;$B$5+$B$6+$B$7,0,IF(A85&lt;=$B$6,$H$9*$B$9^$I$9,IF(A85&lt;=$B$6+$B$7,$H$9*$B$10^$I$9,$H$9*$B$11^$I$9)))</f>
        <v/>
      </c>
      <c r="AB85" s="29">
        <f>IF(A85&gt;$B$5+$B$6+$B$7,0,IF(A85=1,0,$B$14))</f>
        <v/>
      </c>
      <c r="AC85" s="29">
        <f>IF(A85&gt;$B$5+$B$6+$B$7,0,IF(A85&gt;$B$6+$B$7,-$B$14-$B$13/AA85,IF(A85&gt;$B$6,-$B$14-$B$13*$B$15/AA85,-$B$14-($B$13*$B$15+$B$12)/AA85)))</f>
        <v/>
      </c>
      <c r="AD85" s="29">
        <f>IF(A85&gt;$B$5+$B$6+$B$7,0,IF(A85+1&gt;$B$5+$B$6+$B$7,0,IF(A85&gt;$B$6+$B$7,$B$13/AA86,IF(A85&gt;=$B$6,$B$13*$B$15/AA86,($B$13*$B$15+$B$12)/AA86))))</f>
        <v/>
      </c>
      <c r="AE85" s="29">
        <f>IF(A85&gt;$B$5+$B$6+$B$7,0,IF(A85=$B$6,-$M$9*$B$12,0))</f>
        <v/>
      </c>
      <c r="AF85" s="29">
        <f>IF(A85&gt;$B$5+$B$6+$B$7,0,AD85/(AC85-AB85*AF84))</f>
        <v/>
      </c>
      <c r="AG85" s="29">
        <f>IF(A85&gt;$B$5+$B$6+$B$7,0,(AE85-AB85*AG84)/(AC85-AB85*AF84))</f>
        <v/>
      </c>
      <c r="AH85" s="30">
        <f>IF(A85&gt;$B$5+$B$6+$B$7,0,AG85-AF85*AH86)</f>
        <v/>
      </c>
      <c r="AI85" s="31">
        <f>IF(A85&gt;$B$5+$B$6+$B$7,0,IF(C85&lt;&gt;0,J85/C85,0))</f>
        <v/>
      </c>
      <c r="AJ85" s="31">
        <f>IF(A85&gt;$B$5+$B$6+$B$7,0,IF(K85&lt;&gt;0,R85/K85,0))</f>
        <v/>
      </c>
      <c r="AK85" s="31">
        <f>IF(A85&gt;$B$5+$B$6+$B$7,0,IF(S85&lt;&gt;0,Z85/S85,0))</f>
        <v/>
      </c>
      <c r="AL85" s="31">
        <f>IF(A85&gt;$B$5+$B$6+$B$7,0,IF(AA85&lt;&gt;0,AH85/AA85,0))</f>
        <v/>
      </c>
      <c r="AM85" s="30">
        <f>J85+R85+Z85+AH85</f>
        <v/>
      </c>
      <c r="AN85" s="30">
        <f>AI85+AJ85+AK85+AL85</f>
        <v/>
      </c>
    </row>
    <row r="86">
      <c r="A86" s="27" t="n">
        <v>67</v>
      </c>
      <c r="B86" s="28">
        <f>IF(A86&gt;$B$5+$B$6+$B$7,"—",IF(A86&lt;=$B$6,"Extraction",IF(A86&lt;=$B$6+$B$7,"Scrub","Strip")))</f>
        <v/>
      </c>
      <c r="C86" s="29">
        <f>IF(A86&gt;$B$5+$B$6+$B$7,0,IF(A86&lt;=$B$6,$H$6*$B$9^$I$6,IF(A86&lt;=$B$6+$B$7,$H$6*$B$10^$I$6,$H$6*$B$11^$I$6)))</f>
        <v/>
      </c>
      <c r="D86" s="29">
        <f>IF(A86&gt;$B$5+$B$6+$B$7,0,IF(A86=1,0,$B$14))</f>
        <v/>
      </c>
      <c r="E86" s="29">
        <f>IF(A86&gt;$B$5+$B$6+$B$7,0,IF(A86&gt;$B$6+$B$7,-$B$14-$B$13/C86,IF(A86&gt;$B$6,-$B$14-$B$13*$B$15/C86,-$B$14-($B$13*$B$15+$B$12)/C86)))</f>
        <v/>
      </c>
      <c r="F86" s="29">
        <f>IF(A86&gt;$B$5+$B$6+$B$7,0,IF(A86+1&gt;$B$5+$B$6+$B$7,0,IF(A86&gt;$B$6+$B$7,$B$13/C87,IF(A86&gt;=$B$6,$B$13*$B$15/C87,($B$13*$B$15+$B$12)/C87))))</f>
        <v/>
      </c>
      <c r="G86" s="29">
        <f>IF(A86&gt;$B$5+$B$6+$B$7,0,IF(A86=$B$6,-$M$6*$B$12,0))</f>
        <v/>
      </c>
      <c r="H86" s="29">
        <f>IF(A86&gt;$B$5+$B$6+$B$7,0,F86/(E86-D86*H85))</f>
        <v/>
      </c>
      <c r="I86" s="29">
        <f>IF(A86&gt;$B$5+$B$6+$B$7,0,(G86-D86*I85)/(E86-D86*H85))</f>
        <v/>
      </c>
      <c r="J86" s="30">
        <f>IF(A86&gt;$B$5+$B$6+$B$7,0,I86-H86*J87)</f>
        <v/>
      </c>
      <c r="K86" s="29">
        <f>IF(A86&gt;$B$5+$B$6+$B$7,0,IF(A86&lt;=$B$6,$H$7*$B$9^$I$7,IF(A86&lt;=$B$6+$B$7,$H$7*$B$10^$I$7,$H$7*$B$11^$I$7)))</f>
        <v/>
      </c>
      <c r="L86" s="29">
        <f>IF(A86&gt;$B$5+$B$6+$B$7,0,IF(A86=1,0,$B$14))</f>
        <v/>
      </c>
      <c r="M86" s="29">
        <f>IF(A86&gt;$B$5+$B$6+$B$7,0,IF(A86&gt;$B$6+$B$7,-$B$14-$B$13/K86,IF(A86&gt;$B$6,-$B$14-$B$13*$B$15/K86,-$B$14-($B$13*$B$15+$B$12)/K86)))</f>
        <v/>
      </c>
      <c r="N86" s="29">
        <f>IF(A86&gt;$B$5+$B$6+$B$7,0,IF(A86+1&gt;$B$5+$B$6+$B$7,0,IF(A86&gt;$B$6+$B$7,$B$13/K87,IF(A86&gt;=$B$6,$B$13*$B$15/K87,($B$13*$B$15+$B$12)/K87))))</f>
        <v/>
      </c>
      <c r="O86" s="29">
        <f>IF(A86&gt;$B$5+$B$6+$B$7,0,IF(A86=$B$6,-$M$7*$B$12,0))</f>
        <v/>
      </c>
      <c r="P86" s="29">
        <f>IF(A86&gt;$B$5+$B$6+$B$7,0,N86/(M86-L86*P85))</f>
        <v/>
      </c>
      <c r="Q86" s="29">
        <f>IF(A86&gt;$B$5+$B$6+$B$7,0,(O86-L86*Q85)/(M86-L86*P85))</f>
        <v/>
      </c>
      <c r="R86" s="30">
        <f>IF(A86&gt;$B$5+$B$6+$B$7,0,Q86-P86*R87)</f>
        <v/>
      </c>
      <c r="S86" s="29">
        <f>IF(A86&gt;$B$5+$B$6+$B$7,0,IF(A86&lt;=$B$6,$H$8*$B$9^$I$8,IF(A86&lt;=$B$6+$B$7,$H$8*$B$10^$I$8,$H$8*$B$11^$I$8)))</f>
        <v/>
      </c>
      <c r="T86" s="29">
        <f>IF(A86&gt;$B$5+$B$6+$B$7,0,IF(A86=1,0,$B$14))</f>
        <v/>
      </c>
      <c r="U86" s="29">
        <f>IF(A86&gt;$B$5+$B$6+$B$7,0,IF(A86&gt;$B$6+$B$7,-$B$14-$B$13/S86,IF(A86&gt;$B$6,-$B$14-$B$13*$B$15/S86,-$B$14-($B$13*$B$15+$B$12)/S86)))</f>
        <v/>
      </c>
      <c r="V86" s="29">
        <f>IF(A86&gt;$B$5+$B$6+$B$7,0,IF(A86+1&gt;$B$5+$B$6+$B$7,0,IF(A86&gt;$B$6+$B$7,$B$13/S87,IF(A86&gt;=$B$6,$B$13*$B$15/S87,($B$13*$B$15+$B$12)/S87))))</f>
        <v/>
      </c>
      <c r="W86" s="29">
        <f>IF(A86&gt;$B$5+$B$6+$B$7,0,IF(A86=$B$6,-$M$8*$B$12,0))</f>
        <v/>
      </c>
      <c r="X86" s="29">
        <f>IF(A86&gt;$B$5+$B$6+$B$7,0,V86/(U86-T86*X85))</f>
        <v/>
      </c>
      <c r="Y86" s="29">
        <f>IF(A86&gt;$B$5+$B$6+$B$7,0,(W86-T86*Y85)/(U86-T86*X85))</f>
        <v/>
      </c>
      <c r="Z86" s="30">
        <f>IF(A86&gt;$B$5+$B$6+$B$7,0,Y86-X86*Z87)</f>
        <v/>
      </c>
      <c r="AA86" s="29">
        <f>IF(A86&gt;$B$5+$B$6+$B$7,0,IF(A86&lt;=$B$6,$H$9*$B$9^$I$9,IF(A86&lt;=$B$6+$B$7,$H$9*$B$10^$I$9,$H$9*$B$11^$I$9)))</f>
        <v/>
      </c>
      <c r="AB86" s="29">
        <f>IF(A86&gt;$B$5+$B$6+$B$7,0,IF(A86=1,0,$B$14))</f>
        <v/>
      </c>
      <c r="AC86" s="29">
        <f>IF(A86&gt;$B$5+$B$6+$B$7,0,IF(A86&gt;$B$6+$B$7,-$B$14-$B$13/AA86,IF(A86&gt;$B$6,-$B$14-$B$13*$B$15/AA86,-$B$14-($B$13*$B$15+$B$12)/AA86)))</f>
        <v/>
      </c>
      <c r="AD86" s="29">
        <f>IF(A86&gt;$B$5+$B$6+$B$7,0,IF(A86+1&gt;$B$5+$B$6+$B$7,0,IF(A86&gt;$B$6+$B$7,$B$13/AA87,IF(A86&gt;=$B$6,$B$13*$B$15/AA87,($B$13*$B$15+$B$12)/AA87))))</f>
        <v/>
      </c>
      <c r="AE86" s="29">
        <f>IF(A86&gt;$B$5+$B$6+$B$7,0,IF(A86=$B$6,-$M$9*$B$12,0))</f>
        <v/>
      </c>
      <c r="AF86" s="29">
        <f>IF(A86&gt;$B$5+$B$6+$B$7,0,AD86/(AC86-AB86*AF85))</f>
        <v/>
      </c>
      <c r="AG86" s="29">
        <f>IF(A86&gt;$B$5+$B$6+$B$7,0,(AE86-AB86*AG85)/(AC86-AB86*AF85))</f>
        <v/>
      </c>
      <c r="AH86" s="30">
        <f>IF(A86&gt;$B$5+$B$6+$B$7,0,AG86-AF86*AH87)</f>
        <v/>
      </c>
      <c r="AI86" s="31">
        <f>IF(A86&gt;$B$5+$B$6+$B$7,0,IF(C86&lt;&gt;0,J86/C86,0))</f>
        <v/>
      </c>
      <c r="AJ86" s="31">
        <f>IF(A86&gt;$B$5+$B$6+$B$7,0,IF(K86&lt;&gt;0,R86/K86,0))</f>
        <v/>
      </c>
      <c r="AK86" s="31">
        <f>IF(A86&gt;$B$5+$B$6+$B$7,0,IF(S86&lt;&gt;0,Z86/S86,0))</f>
        <v/>
      </c>
      <c r="AL86" s="31">
        <f>IF(A86&gt;$B$5+$B$6+$B$7,0,IF(AA86&lt;&gt;0,AH86/AA86,0))</f>
        <v/>
      </c>
      <c r="AM86" s="30">
        <f>J86+R86+Z86+AH86</f>
        <v/>
      </c>
      <c r="AN86" s="30">
        <f>AI86+AJ86+AK86+AL86</f>
        <v/>
      </c>
    </row>
    <row r="87">
      <c r="A87" s="27" t="n">
        <v>68</v>
      </c>
      <c r="B87" s="28">
        <f>IF(A87&gt;$B$5+$B$6+$B$7,"—",IF(A87&lt;=$B$6,"Extraction",IF(A87&lt;=$B$6+$B$7,"Scrub","Strip")))</f>
        <v/>
      </c>
      <c r="C87" s="29">
        <f>IF(A87&gt;$B$5+$B$6+$B$7,0,IF(A87&lt;=$B$6,$H$6*$B$9^$I$6,IF(A87&lt;=$B$6+$B$7,$H$6*$B$10^$I$6,$H$6*$B$11^$I$6)))</f>
        <v/>
      </c>
      <c r="D87" s="29">
        <f>IF(A87&gt;$B$5+$B$6+$B$7,0,IF(A87=1,0,$B$14))</f>
        <v/>
      </c>
      <c r="E87" s="29">
        <f>IF(A87&gt;$B$5+$B$6+$B$7,0,IF(A87&gt;$B$6+$B$7,-$B$14-$B$13/C87,IF(A87&gt;$B$6,-$B$14-$B$13*$B$15/C87,-$B$14-($B$13*$B$15+$B$12)/C87)))</f>
        <v/>
      </c>
      <c r="F87" s="29">
        <f>IF(A87&gt;$B$5+$B$6+$B$7,0,IF(A87+1&gt;$B$5+$B$6+$B$7,0,IF(A87&gt;$B$6+$B$7,$B$13/C88,IF(A87&gt;=$B$6,$B$13*$B$15/C88,($B$13*$B$15+$B$12)/C88))))</f>
        <v/>
      </c>
      <c r="G87" s="29">
        <f>IF(A87&gt;$B$5+$B$6+$B$7,0,IF(A87=$B$6,-$M$6*$B$12,0))</f>
        <v/>
      </c>
      <c r="H87" s="29">
        <f>IF(A87&gt;$B$5+$B$6+$B$7,0,F87/(E87-D87*H86))</f>
        <v/>
      </c>
      <c r="I87" s="29">
        <f>IF(A87&gt;$B$5+$B$6+$B$7,0,(G87-D87*I86)/(E87-D87*H86))</f>
        <v/>
      </c>
      <c r="J87" s="30">
        <f>IF(A87&gt;$B$5+$B$6+$B$7,0,I87-H87*J88)</f>
        <v/>
      </c>
      <c r="K87" s="29">
        <f>IF(A87&gt;$B$5+$B$6+$B$7,0,IF(A87&lt;=$B$6,$H$7*$B$9^$I$7,IF(A87&lt;=$B$6+$B$7,$H$7*$B$10^$I$7,$H$7*$B$11^$I$7)))</f>
        <v/>
      </c>
      <c r="L87" s="29">
        <f>IF(A87&gt;$B$5+$B$6+$B$7,0,IF(A87=1,0,$B$14))</f>
        <v/>
      </c>
      <c r="M87" s="29">
        <f>IF(A87&gt;$B$5+$B$6+$B$7,0,IF(A87&gt;$B$6+$B$7,-$B$14-$B$13/K87,IF(A87&gt;$B$6,-$B$14-$B$13*$B$15/K87,-$B$14-($B$13*$B$15+$B$12)/K87)))</f>
        <v/>
      </c>
      <c r="N87" s="29">
        <f>IF(A87&gt;$B$5+$B$6+$B$7,0,IF(A87+1&gt;$B$5+$B$6+$B$7,0,IF(A87&gt;$B$6+$B$7,$B$13/K88,IF(A87&gt;=$B$6,$B$13*$B$15/K88,($B$13*$B$15+$B$12)/K88))))</f>
        <v/>
      </c>
      <c r="O87" s="29">
        <f>IF(A87&gt;$B$5+$B$6+$B$7,0,IF(A87=$B$6,-$M$7*$B$12,0))</f>
        <v/>
      </c>
      <c r="P87" s="29">
        <f>IF(A87&gt;$B$5+$B$6+$B$7,0,N87/(M87-L87*P86))</f>
        <v/>
      </c>
      <c r="Q87" s="29">
        <f>IF(A87&gt;$B$5+$B$6+$B$7,0,(O87-L87*Q86)/(M87-L87*P86))</f>
        <v/>
      </c>
      <c r="R87" s="30">
        <f>IF(A87&gt;$B$5+$B$6+$B$7,0,Q87-P87*R88)</f>
        <v/>
      </c>
      <c r="S87" s="29">
        <f>IF(A87&gt;$B$5+$B$6+$B$7,0,IF(A87&lt;=$B$6,$H$8*$B$9^$I$8,IF(A87&lt;=$B$6+$B$7,$H$8*$B$10^$I$8,$H$8*$B$11^$I$8)))</f>
        <v/>
      </c>
      <c r="T87" s="29">
        <f>IF(A87&gt;$B$5+$B$6+$B$7,0,IF(A87=1,0,$B$14))</f>
        <v/>
      </c>
      <c r="U87" s="29">
        <f>IF(A87&gt;$B$5+$B$6+$B$7,0,IF(A87&gt;$B$6+$B$7,-$B$14-$B$13/S87,IF(A87&gt;$B$6,-$B$14-$B$13*$B$15/S87,-$B$14-($B$13*$B$15+$B$12)/S87)))</f>
        <v/>
      </c>
      <c r="V87" s="29">
        <f>IF(A87&gt;$B$5+$B$6+$B$7,0,IF(A87+1&gt;$B$5+$B$6+$B$7,0,IF(A87&gt;$B$6+$B$7,$B$13/S88,IF(A87&gt;=$B$6,$B$13*$B$15/S88,($B$13*$B$15+$B$12)/S88))))</f>
        <v/>
      </c>
      <c r="W87" s="29">
        <f>IF(A87&gt;$B$5+$B$6+$B$7,0,IF(A87=$B$6,-$M$8*$B$12,0))</f>
        <v/>
      </c>
      <c r="X87" s="29">
        <f>IF(A87&gt;$B$5+$B$6+$B$7,0,V87/(U87-T87*X86))</f>
        <v/>
      </c>
      <c r="Y87" s="29">
        <f>IF(A87&gt;$B$5+$B$6+$B$7,0,(W87-T87*Y86)/(U87-T87*X86))</f>
        <v/>
      </c>
      <c r="Z87" s="30">
        <f>IF(A87&gt;$B$5+$B$6+$B$7,0,Y87-X87*Z88)</f>
        <v/>
      </c>
      <c r="AA87" s="29">
        <f>IF(A87&gt;$B$5+$B$6+$B$7,0,IF(A87&lt;=$B$6,$H$9*$B$9^$I$9,IF(A87&lt;=$B$6+$B$7,$H$9*$B$10^$I$9,$H$9*$B$11^$I$9)))</f>
        <v/>
      </c>
      <c r="AB87" s="29">
        <f>IF(A87&gt;$B$5+$B$6+$B$7,0,IF(A87=1,0,$B$14))</f>
        <v/>
      </c>
      <c r="AC87" s="29">
        <f>IF(A87&gt;$B$5+$B$6+$B$7,0,IF(A87&gt;$B$6+$B$7,-$B$14-$B$13/AA87,IF(A87&gt;$B$6,-$B$14-$B$13*$B$15/AA87,-$B$14-($B$13*$B$15+$B$12)/AA87)))</f>
        <v/>
      </c>
      <c r="AD87" s="29">
        <f>IF(A87&gt;$B$5+$B$6+$B$7,0,IF(A87+1&gt;$B$5+$B$6+$B$7,0,IF(A87&gt;$B$6+$B$7,$B$13/AA88,IF(A87&gt;=$B$6,$B$13*$B$15/AA88,($B$13*$B$15+$B$12)/AA88))))</f>
        <v/>
      </c>
      <c r="AE87" s="29">
        <f>IF(A87&gt;$B$5+$B$6+$B$7,0,IF(A87=$B$6,-$M$9*$B$12,0))</f>
        <v/>
      </c>
      <c r="AF87" s="29">
        <f>IF(A87&gt;$B$5+$B$6+$B$7,0,AD87/(AC87-AB87*AF86))</f>
        <v/>
      </c>
      <c r="AG87" s="29">
        <f>IF(A87&gt;$B$5+$B$6+$B$7,0,(AE87-AB87*AG86)/(AC87-AB87*AF86))</f>
        <v/>
      </c>
      <c r="AH87" s="30">
        <f>IF(A87&gt;$B$5+$B$6+$B$7,0,AG87-AF87*AH88)</f>
        <v/>
      </c>
      <c r="AI87" s="31">
        <f>IF(A87&gt;$B$5+$B$6+$B$7,0,IF(C87&lt;&gt;0,J87/C87,0))</f>
        <v/>
      </c>
      <c r="AJ87" s="31">
        <f>IF(A87&gt;$B$5+$B$6+$B$7,0,IF(K87&lt;&gt;0,R87/K87,0))</f>
        <v/>
      </c>
      <c r="AK87" s="31">
        <f>IF(A87&gt;$B$5+$B$6+$B$7,0,IF(S87&lt;&gt;0,Z87/S87,0))</f>
        <v/>
      </c>
      <c r="AL87" s="31">
        <f>IF(A87&gt;$B$5+$B$6+$B$7,0,IF(AA87&lt;&gt;0,AH87/AA87,0))</f>
        <v/>
      </c>
      <c r="AM87" s="30">
        <f>J87+R87+Z87+AH87</f>
        <v/>
      </c>
      <c r="AN87" s="30">
        <f>AI87+AJ87+AK87+AL87</f>
        <v/>
      </c>
    </row>
    <row r="88">
      <c r="A88" s="27" t="n">
        <v>69</v>
      </c>
      <c r="B88" s="28">
        <f>IF(A88&gt;$B$5+$B$6+$B$7,"—",IF(A88&lt;=$B$6,"Extraction",IF(A88&lt;=$B$6+$B$7,"Scrub","Strip")))</f>
        <v/>
      </c>
      <c r="C88" s="29">
        <f>IF(A88&gt;$B$5+$B$6+$B$7,0,IF(A88&lt;=$B$6,$H$6*$B$9^$I$6,IF(A88&lt;=$B$6+$B$7,$H$6*$B$10^$I$6,$H$6*$B$11^$I$6)))</f>
        <v/>
      </c>
      <c r="D88" s="29">
        <f>IF(A88&gt;$B$5+$B$6+$B$7,0,IF(A88=1,0,$B$14))</f>
        <v/>
      </c>
      <c r="E88" s="29">
        <f>IF(A88&gt;$B$5+$B$6+$B$7,0,IF(A88&gt;$B$6+$B$7,-$B$14-$B$13/C88,IF(A88&gt;$B$6,-$B$14-$B$13*$B$15/C88,-$B$14-($B$13*$B$15+$B$12)/C88)))</f>
        <v/>
      </c>
      <c r="F88" s="29">
        <f>IF(A88&gt;$B$5+$B$6+$B$7,0,IF(A88+1&gt;$B$5+$B$6+$B$7,0,IF(A88&gt;$B$6+$B$7,$B$13/C89,IF(A88&gt;=$B$6,$B$13*$B$15/C89,($B$13*$B$15+$B$12)/C89))))</f>
        <v/>
      </c>
      <c r="G88" s="29">
        <f>IF(A88&gt;$B$5+$B$6+$B$7,0,IF(A88=$B$6,-$M$6*$B$12,0))</f>
        <v/>
      </c>
      <c r="H88" s="29">
        <f>IF(A88&gt;$B$5+$B$6+$B$7,0,F88/(E88-D88*H87))</f>
        <v/>
      </c>
      <c r="I88" s="29">
        <f>IF(A88&gt;$B$5+$B$6+$B$7,0,(G88-D88*I87)/(E88-D88*H87))</f>
        <v/>
      </c>
      <c r="J88" s="30">
        <f>IF(A88&gt;$B$5+$B$6+$B$7,0,I88-H88*J89)</f>
        <v/>
      </c>
      <c r="K88" s="29">
        <f>IF(A88&gt;$B$5+$B$6+$B$7,0,IF(A88&lt;=$B$6,$H$7*$B$9^$I$7,IF(A88&lt;=$B$6+$B$7,$H$7*$B$10^$I$7,$H$7*$B$11^$I$7)))</f>
        <v/>
      </c>
      <c r="L88" s="29">
        <f>IF(A88&gt;$B$5+$B$6+$B$7,0,IF(A88=1,0,$B$14))</f>
        <v/>
      </c>
      <c r="M88" s="29">
        <f>IF(A88&gt;$B$5+$B$6+$B$7,0,IF(A88&gt;$B$6+$B$7,-$B$14-$B$13/K88,IF(A88&gt;$B$6,-$B$14-$B$13*$B$15/K88,-$B$14-($B$13*$B$15+$B$12)/K88)))</f>
        <v/>
      </c>
      <c r="N88" s="29">
        <f>IF(A88&gt;$B$5+$B$6+$B$7,0,IF(A88+1&gt;$B$5+$B$6+$B$7,0,IF(A88&gt;$B$6+$B$7,$B$13/K89,IF(A88&gt;=$B$6,$B$13*$B$15/K89,($B$13*$B$15+$B$12)/K89))))</f>
        <v/>
      </c>
      <c r="O88" s="29">
        <f>IF(A88&gt;$B$5+$B$6+$B$7,0,IF(A88=$B$6,-$M$7*$B$12,0))</f>
        <v/>
      </c>
      <c r="P88" s="29">
        <f>IF(A88&gt;$B$5+$B$6+$B$7,0,N88/(M88-L88*P87))</f>
        <v/>
      </c>
      <c r="Q88" s="29">
        <f>IF(A88&gt;$B$5+$B$6+$B$7,0,(O88-L88*Q87)/(M88-L88*P87))</f>
        <v/>
      </c>
      <c r="R88" s="30">
        <f>IF(A88&gt;$B$5+$B$6+$B$7,0,Q88-P88*R89)</f>
        <v/>
      </c>
      <c r="S88" s="29">
        <f>IF(A88&gt;$B$5+$B$6+$B$7,0,IF(A88&lt;=$B$6,$H$8*$B$9^$I$8,IF(A88&lt;=$B$6+$B$7,$H$8*$B$10^$I$8,$H$8*$B$11^$I$8)))</f>
        <v/>
      </c>
      <c r="T88" s="29">
        <f>IF(A88&gt;$B$5+$B$6+$B$7,0,IF(A88=1,0,$B$14))</f>
        <v/>
      </c>
      <c r="U88" s="29">
        <f>IF(A88&gt;$B$5+$B$6+$B$7,0,IF(A88&gt;$B$6+$B$7,-$B$14-$B$13/S88,IF(A88&gt;$B$6,-$B$14-$B$13*$B$15/S88,-$B$14-($B$13*$B$15+$B$12)/S88)))</f>
        <v/>
      </c>
      <c r="V88" s="29">
        <f>IF(A88&gt;$B$5+$B$6+$B$7,0,IF(A88+1&gt;$B$5+$B$6+$B$7,0,IF(A88&gt;$B$6+$B$7,$B$13/S89,IF(A88&gt;=$B$6,$B$13*$B$15/S89,($B$13*$B$15+$B$12)/S89))))</f>
        <v/>
      </c>
      <c r="W88" s="29">
        <f>IF(A88&gt;$B$5+$B$6+$B$7,0,IF(A88=$B$6,-$M$8*$B$12,0))</f>
        <v/>
      </c>
      <c r="X88" s="29">
        <f>IF(A88&gt;$B$5+$B$6+$B$7,0,V88/(U88-T88*X87))</f>
        <v/>
      </c>
      <c r="Y88" s="29">
        <f>IF(A88&gt;$B$5+$B$6+$B$7,0,(W88-T88*Y87)/(U88-T88*X87))</f>
        <v/>
      </c>
      <c r="Z88" s="30">
        <f>IF(A88&gt;$B$5+$B$6+$B$7,0,Y88-X88*Z89)</f>
        <v/>
      </c>
      <c r="AA88" s="29">
        <f>IF(A88&gt;$B$5+$B$6+$B$7,0,IF(A88&lt;=$B$6,$H$9*$B$9^$I$9,IF(A88&lt;=$B$6+$B$7,$H$9*$B$10^$I$9,$H$9*$B$11^$I$9)))</f>
        <v/>
      </c>
      <c r="AB88" s="29">
        <f>IF(A88&gt;$B$5+$B$6+$B$7,0,IF(A88=1,0,$B$14))</f>
        <v/>
      </c>
      <c r="AC88" s="29">
        <f>IF(A88&gt;$B$5+$B$6+$B$7,0,IF(A88&gt;$B$6+$B$7,-$B$14-$B$13/AA88,IF(A88&gt;$B$6,-$B$14-$B$13*$B$15/AA88,-$B$14-($B$13*$B$15+$B$12)/AA88)))</f>
        <v/>
      </c>
      <c r="AD88" s="29">
        <f>IF(A88&gt;$B$5+$B$6+$B$7,0,IF(A88+1&gt;$B$5+$B$6+$B$7,0,IF(A88&gt;$B$6+$B$7,$B$13/AA89,IF(A88&gt;=$B$6,$B$13*$B$15/AA89,($B$13*$B$15+$B$12)/AA89))))</f>
        <v/>
      </c>
      <c r="AE88" s="29">
        <f>IF(A88&gt;$B$5+$B$6+$B$7,0,IF(A88=$B$6,-$M$9*$B$12,0))</f>
        <v/>
      </c>
      <c r="AF88" s="29">
        <f>IF(A88&gt;$B$5+$B$6+$B$7,0,AD88/(AC88-AB88*AF87))</f>
        <v/>
      </c>
      <c r="AG88" s="29">
        <f>IF(A88&gt;$B$5+$B$6+$B$7,0,(AE88-AB88*AG87)/(AC88-AB88*AF87))</f>
        <v/>
      </c>
      <c r="AH88" s="30">
        <f>IF(A88&gt;$B$5+$B$6+$B$7,0,AG88-AF88*AH89)</f>
        <v/>
      </c>
      <c r="AI88" s="31">
        <f>IF(A88&gt;$B$5+$B$6+$B$7,0,IF(C88&lt;&gt;0,J88/C88,0))</f>
        <v/>
      </c>
      <c r="AJ88" s="31">
        <f>IF(A88&gt;$B$5+$B$6+$B$7,0,IF(K88&lt;&gt;0,R88/K88,0))</f>
        <v/>
      </c>
      <c r="AK88" s="31">
        <f>IF(A88&gt;$B$5+$B$6+$B$7,0,IF(S88&lt;&gt;0,Z88/S88,0))</f>
        <v/>
      </c>
      <c r="AL88" s="31">
        <f>IF(A88&gt;$B$5+$B$6+$B$7,0,IF(AA88&lt;&gt;0,AH88/AA88,0))</f>
        <v/>
      </c>
      <c r="AM88" s="30">
        <f>J88+R88+Z88+AH88</f>
        <v/>
      </c>
      <c r="AN88" s="30">
        <f>AI88+AJ88+AK88+AL88</f>
        <v/>
      </c>
    </row>
    <row r="89">
      <c r="A89" s="27" t="n">
        <v>70</v>
      </c>
      <c r="B89" s="28">
        <f>IF(A89&gt;$B$5+$B$6+$B$7,"—",IF(A89&lt;=$B$6,"Extraction",IF(A89&lt;=$B$6+$B$7,"Scrub","Strip")))</f>
        <v/>
      </c>
      <c r="C89" s="29">
        <f>IF(A89&gt;$B$5+$B$6+$B$7,0,IF(A89&lt;=$B$6,$H$6*$B$9^$I$6,IF(A89&lt;=$B$6+$B$7,$H$6*$B$10^$I$6,$H$6*$B$11^$I$6)))</f>
        <v/>
      </c>
      <c r="D89" s="29">
        <f>IF(A89&gt;$B$5+$B$6+$B$7,0,IF(A89=1,0,$B$14))</f>
        <v/>
      </c>
      <c r="E89" s="29">
        <f>IF(A89&gt;$B$5+$B$6+$B$7,0,IF(A89&gt;$B$6+$B$7,-$B$14-$B$13/C89,IF(A89&gt;$B$6,-$B$14-$B$13*$B$15/C89,-$B$14-($B$13*$B$15+$B$12)/C89)))</f>
        <v/>
      </c>
      <c r="F89" s="29">
        <f>IF(A89&gt;$B$5+$B$6+$B$7,0,IF(A89+1&gt;$B$5+$B$6+$B$7,0,IF(A89&gt;$B$6+$B$7,$B$13/C90,IF(A89&gt;=$B$6,$B$13*$B$15/C90,($B$13*$B$15+$B$12)/C90))))</f>
        <v/>
      </c>
      <c r="G89" s="29">
        <f>IF(A89&gt;$B$5+$B$6+$B$7,0,IF(A89=$B$6,-$M$6*$B$12,0))</f>
        <v/>
      </c>
      <c r="H89" s="29">
        <f>IF(A89&gt;$B$5+$B$6+$B$7,0,F89/(E89-D89*H88))</f>
        <v/>
      </c>
      <c r="I89" s="29">
        <f>IF(A89&gt;$B$5+$B$6+$B$7,0,(G89-D89*I88)/(E89-D89*H88))</f>
        <v/>
      </c>
      <c r="J89" s="30">
        <f>IF(A89&gt;$B$5+$B$6+$B$7,0,I89-H89*J90)</f>
        <v/>
      </c>
      <c r="K89" s="29">
        <f>IF(A89&gt;$B$5+$B$6+$B$7,0,IF(A89&lt;=$B$6,$H$7*$B$9^$I$7,IF(A89&lt;=$B$6+$B$7,$H$7*$B$10^$I$7,$H$7*$B$11^$I$7)))</f>
        <v/>
      </c>
      <c r="L89" s="29">
        <f>IF(A89&gt;$B$5+$B$6+$B$7,0,IF(A89=1,0,$B$14))</f>
        <v/>
      </c>
      <c r="M89" s="29">
        <f>IF(A89&gt;$B$5+$B$6+$B$7,0,IF(A89&gt;$B$6+$B$7,-$B$14-$B$13/K89,IF(A89&gt;$B$6,-$B$14-$B$13*$B$15/K89,-$B$14-($B$13*$B$15+$B$12)/K89)))</f>
        <v/>
      </c>
      <c r="N89" s="29">
        <f>IF(A89&gt;$B$5+$B$6+$B$7,0,IF(A89+1&gt;$B$5+$B$6+$B$7,0,IF(A89&gt;$B$6+$B$7,$B$13/K90,IF(A89&gt;=$B$6,$B$13*$B$15/K90,($B$13*$B$15+$B$12)/K90))))</f>
        <v/>
      </c>
      <c r="O89" s="29">
        <f>IF(A89&gt;$B$5+$B$6+$B$7,0,IF(A89=$B$6,-$M$7*$B$12,0))</f>
        <v/>
      </c>
      <c r="P89" s="29">
        <f>IF(A89&gt;$B$5+$B$6+$B$7,0,N89/(M89-L89*P88))</f>
        <v/>
      </c>
      <c r="Q89" s="29">
        <f>IF(A89&gt;$B$5+$B$6+$B$7,0,(O89-L89*Q88)/(M89-L89*P88))</f>
        <v/>
      </c>
      <c r="R89" s="30">
        <f>IF(A89&gt;$B$5+$B$6+$B$7,0,Q89-P89*R90)</f>
        <v/>
      </c>
      <c r="S89" s="29">
        <f>IF(A89&gt;$B$5+$B$6+$B$7,0,IF(A89&lt;=$B$6,$H$8*$B$9^$I$8,IF(A89&lt;=$B$6+$B$7,$H$8*$B$10^$I$8,$H$8*$B$11^$I$8)))</f>
        <v/>
      </c>
      <c r="T89" s="29">
        <f>IF(A89&gt;$B$5+$B$6+$B$7,0,IF(A89=1,0,$B$14))</f>
        <v/>
      </c>
      <c r="U89" s="29">
        <f>IF(A89&gt;$B$5+$B$6+$B$7,0,IF(A89&gt;$B$6+$B$7,-$B$14-$B$13/S89,IF(A89&gt;$B$6,-$B$14-$B$13*$B$15/S89,-$B$14-($B$13*$B$15+$B$12)/S89)))</f>
        <v/>
      </c>
      <c r="V89" s="29">
        <f>IF(A89&gt;$B$5+$B$6+$B$7,0,IF(A89+1&gt;$B$5+$B$6+$B$7,0,IF(A89&gt;$B$6+$B$7,$B$13/S90,IF(A89&gt;=$B$6,$B$13*$B$15/S90,($B$13*$B$15+$B$12)/S90))))</f>
        <v/>
      </c>
      <c r="W89" s="29">
        <f>IF(A89&gt;$B$5+$B$6+$B$7,0,IF(A89=$B$6,-$M$8*$B$12,0))</f>
        <v/>
      </c>
      <c r="X89" s="29">
        <f>IF(A89&gt;$B$5+$B$6+$B$7,0,V89/(U89-T89*X88))</f>
        <v/>
      </c>
      <c r="Y89" s="29">
        <f>IF(A89&gt;$B$5+$B$6+$B$7,0,(W89-T89*Y88)/(U89-T89*X88))</f>
        <v/>
      </c>
      <c r="Z89" s="30">
        <f>IF(A89&gt;$B$5+$B$6+$B$7,0,Y89-X89*Z90)</f>
        <v/>
      </c>
      <c r="AA89" s="29">
        <f>IF(A89&gt;$B$5+$B$6+$B$7,0,IF(A89&lt;=$B$6,$H$9*$B$9^$I$9,IF(A89&lt;=$B$6+$B$7,$H$9*$B$10^$I$9,$H$9*$B$11^$I$9)))</f>
        <v/>
      </c>
      <c r="AB89" s="29">
        <f>IF(A89&gt;$B$5+$B$6+$B$7,0,IF(A89=1,0,$B$14))</f>
        <v/>
      </c>
      <c r="AC89" s="29">
        <f>IF(A89&gt;$B$5+$B$6+$B$7,0,IF(A89&gt;$B$6+$B$7,-$B$14-$B$13/AA89,IF(A89&gt;$B$6,-$B$14-$B$13*$B$15/AA89,-$B$14-($B$13*$B$15+$B$12)/AA89)))</f>
        <v/>
      </c>
      <c r="AD89" s="29">
        <f>IF(A89&gt;$B$5+$B$6+$B$7,0,IF(A89+1&gt;$B$5+$B$6+$B$7,0,IF(A89&gt;$B$6+$B$7,$B$13/AA90,IF(A89&gt;=$B$6,$B$13*$B$15/AA90,($B$13*$B$15+$B$12)/AA90))))</f>
        <v/>
      </c>
      <c r="AE89" s="29">
        <f>IF(A89&gt;$B$5+$B$6+$B$7,0,IF(A89=$B$6,-$M$9*$B$12,0))</f>
        <v/>
      </c>
      <c r="AF89" s="29">
        <f>IF(A89&gt;$B$5+$B$6+$B$7,0,AD89/(AC89-AB89*AF88))</f>
        <v/>
      </c>
      <c r="AG89" s="29">
        <f>IF(A89&gt;$B$5+$B$6+$B$7,0,(AE89-AB89*AG88)/(AC89-AB89*AF88))</f>
        <v/>
      </c>
      <c r="AH89" s="30">
        <f>IF(A89&gt;$B$5+$B$6+$B$7,0,AG89-AF89*AH90)</f>
        <v/>
      </c>
      <c r="AI89" s="31">
        <f>IF(A89&gt;$B$5+$B$6+$B$7,0,IF(C89&lt;&gt;0,J89/C89,0))</f>
        <v/>
      </c>
      <c r="AJ89" s="31">
        <f>IF(A89&gt;$B$5+$B$6+$B$7,0,IF(K89&lt;&gt;0,R89/K89,0))</f>
        <v/>
      </c>
      <c r="AK89" s="31">
        <f>IF(A89&gt;$B$5+$B$6+$B$7,0,IF(S89&lt;&gt;0,Z89/S89,0))</f>
        <v/>
      </c>
      <c r="AL89" s="31">
        <f>IF(A89&gt;$B$5+$B$6+$B$7,0,IF(AA89&lt;&gt;0,AH89/AA89,0))</f>
        <v/>
      </c>
      <c r="AM89" s="30">
        <f>J89+R89+Z89+AH89</f>
        <v/>
      </c>
      <c r="AN89" s="30">
        <f>AI89+AJ89+AK89+AL89</f>
        <v/>
      </c>
    </row>
    <row r="90">
      <c r="A90" s="27" t="n">
        <v>71</v>
      </c>
      <c r="B90" s="28">
        <f>IF(A90&gt;$B$5+$B$6+$B$7,"—",IF(A90&lt;=$B$6,"Extraction",IF(A90&lt;=$B$6+$B$7,"Scrub","Strip")))</f>
        <v/>
      </c>
      <c r="C90" s="29">
        <f>IF(A90&gt;$B$5+$B$6+$B$7,0,IF(A90&lt;=$B$6,$H$6*$B$9^$I$6,IF(A90&lt;=$B$6+$B$7,$H$6*$B$10^$I$6,$H$6*$B$11^$I$6)))</f>
        <v/>
      </c>
      <c r="D90" s="29">
        <f>IF(A90&gt;$B$5+$B$6+$B$7,0,IF(A90=1,0,$B$14))</f>
        <v/>
      </c>
      <c r="E90" s="29">
        <f>IF(A90&gt;$B$5+$B$6+$B$7,0,IF(A90&gt;$B$6+$B$7,-$B$14-$B$13/C90,IF(A90&gt;$B$6,-$B$14-$B$13*$B$15/C90,-$B$14-($B$13*$B$15+$B$12)/C90)))</f>
        <v/>
      </c>
      <c r="F90" s="29">
        <f>IF(A90&gt;$B$5+$B$6+$B$7,0,IF(A90+1&gt;$B$5+$B$6+$B$7,0,IF(A90&gt;$B$6+$B$7,$B$13/C91,IF(A90&gt;=$B$6,$B$13*$B$15/C91,($B$13*$B$15+$B$12)/C91))))</f>
        <v/>
      </c>
      <c r="G90" s="29">
        <f>IF(A90&gt;$B$5+$B$6+$B$7,0,IF(A90=$B$6,-$M$6*$B$12,0))</f>
        <v/>
      </c>
      <c r="H90" s="29">
        <f>IF(A90&gt;$B$5+$B$6+$B$7,0,F90/(E90-D90*H89))</f>
        <v/>
      </c>
      <c r="I90" s="29">
        <f>IF(A90&gt;$B$5+$B$6+$B$7,0,(G90-D90*I89)/(E90-D90*H89))</f>
        <v/>
      </c>
      <c r="J90" s="30">
        <f>IF(A90&gt;$B$5+$B$6+$B$7,0,I90-H90*J91)</f>
        <v/>
      </c>
      <c r="K90" s="29">
        <f>IF(A90&gt;$B$5+$B$6+$B$7,0,IF(A90&lt;=$B$6,$H$7*$B$9^$I$7,IF(A90&lt;=$B$6+$B$7,$H$7*$B$10^$I$7,$H$7*$B$11^$I$7)))</f>
        <v/>
      </c>
      <c r="L90" s="29">
        <f>IF(A90&gt;$B$5+$B$6+$B$7,0,IF(A90=1,0,$B$14))</f>
        <v/>
      </c>
      <c r="M90" s="29">
        <f>IF(A90&gt;$B$5+$B$6+$B$7,0,IF(A90&gt;$B$6+$B$7,-$B$14-$B$13/K90,IF(A90&gt;$B$6,-$B$14-$B$13*$B$15/K90,-$B$14-($B$13*$B$15+$B$12)/K90)))</f>
        <v/>
      </c>
      <c r="N90" s="29">
        <f>IF(A90&gt;$B$5+$B$6+$B$7,0,IF(A90+1&gt;$B$5+$B$6+$B$7,0,IF(A90&gt;$B$6+$B$7,$B$13/K91,IF(A90&gt;=$B$6,$B$13*$B$15/K91,($B$13*$B$15+$B$12)/K91))))</f>
        <v/>
      </c>
      <c r="O90" s="29">
        <f>IF(A90&gt;$B$5+$B$6+$B$7,0,IF(A90=$B$6,-$M$7*$B$12,0))</f>
        <v/>
      </c>
      <c r="P90" s="29">
        <f>IF(A90&gt;$B$5+$B$6+$B$7,0,N90/(M90-L90*P89))</f>
        <v/>
      </c>
      <c r="Q90" s="29">
        <f>IF(A90&gt;$B$5+$B$6+$B$7,0,(O90-L90*Q89)/(M90-L90*P89))</f>
        <v/>
      </c>
      <c r="R90" s="30">
        <f>IF(A90&gt;$B$5+$B$6+$B$7,0,Q90-P90*R91)</f>
        <v/>
      </c>
      <c r="S90" s="29">
        <f>IF(A90&gt;$B$5+$B$6+$B$7,0,IF(A90&lt;=$B$6,$H$8*$B$9^$I$8,IF(A90&lt;=$B$6+$B$7,$H$8*$B$10^$I$8,$H$8*$B$11^$I$8)))</f>
        <v/>
      </c>
      <c r="T90" s="29">
        <f>IF(A90&gt;$B$5+$B$6+$B$7,0,IF(A90=1,0,$B$14))</f>
        <v/>
      </c>
      <c r="U90" s="29">
        <f>IF(A90&gt;$B$5+$B$6+$B$7,0,IF(A90&gt;$B$6+$B$7,-$B$14-$B$13/S90,IF(A90&gt;$B$6,-$B$14-$B$13*$B$15/S90,-$B$14-($B$13*$B$15+$B$12)/S90)))</f>
        <v/>
      </c>
      <c r="V90" s="29">
        <f>IF(A90&gt;$B$5+$B$6+$B$7,0,IF(A90+1&gt;$B$5+$B$6+$B$7,0,IF(A90&gt;$B$6+$B$7,$B$13/S91,IF(A90&gt;=$B$6,$B$13*$B$15/S91,($B$13*$B$15+$B$12)/S91))))</f>
        <v/>
      </c>
      <c r="W90" s="29">
        <f>IF(A90&gt;$B$5+$B$6+$B$7,0,IF(A90=$B$6,-$M$8*$B$12,0))</f>
        <v/>
      </c>
      <c r="X90" s="29">
        <f>IF(A90&gt;$B$5+$B$6+$B$7,0,V90/(U90-T90*X89))</f>
        <v/>
      </c>
      <c r="Y90" s="29">
        <f>IF(A90&gt;$B$5+$B$6+$B$7,0,(W90-T90*Y89)/(U90-T90*X89))</f>
        <v/>
      </c>
      <c r="Z90" s="30">
        <f>IF(A90&gt;$B$5+$B$6+$B$7,0,Y90-X90*Z91)</f>
        <v/>
      </c>
      <c r="AA90" s="29">
        <f>IF(A90&gt;$B$5+$B$6+$B$7,0,IF(A90&lt;=$B$6,$H$9*$B$9^$I$9,IF(A90&lt;=$B$6+$B$7,$H$9*$B$10^$I$9,$H$9*$B$11^$I$9)))</f>
        <v/>
      </c>
      <c r="AB90" s="29">
        <f>IF(A90&gt;$B$5+$B$6+$B$7,0,IF(A90=1,0,$B$14))</f>
        <v/>
      </c>
      <c r="AC90" s="29">
        <f>IF(A90&gt;$B$5+$B$6+$B$7,0,IF(A90&gt;$B$6+$B$7,-$B$14-$B$13/AA90,IF(A90&gt;$B$6,-$B$14-$B$13*$B$15/AA90,-$B$14-($B$13*$B$15+$B$12)/AA90)))</f>
        <v/>
      </c>
      <c r="AD90" s="29">
        <f>IF(A90&gt;$B$5+$B$6+$B$7,0,IF(A90+1&gt;$B$5+$B$6+$B$7,0,IF(A90&gt;$B$6+$B$7,$B$13/AA91,IF(A90&gt;=$B$6,$B$13*$B$15/AA91,($B$13*$B$15+$B$12)/AA91))))</f>
        <v/>
      </c>
      <c r="AE90" s="29">
        <f>IF(A90&gt;$B$5+$B$6+$B$7,0,IF(A90=$B$6,-$M$9*$B$12,0))</f>
        <v/>
      </c>
      <c r="AF90" s="29">
        <f>IF(A90&gt;$B$5+$B$6+$B$7,0,AD90/(AC90-AB90*AF89))</f>
        <v/>
      </c>
      <c r="AG90" s="29">
        <f>IF(A90&gt;$B$5+$B$6+$B$7,0,(AE90-AB90*AG89)/(AC90-AB90*AF89))</f>
        <v/>
      </c>
      <c r="AH90" s="30">
        <f>IF(A90&gt;$B$5+$B$6+$B$7,0,AG90-AF90*AH91)</f>
        <v/>
      </c>
      <c r="AI90" s="31">
        <f>IF(A90&gt;$B$5+$B$6+$B$7,0,IF(C90&lt;&gt;0,J90/C90,0))</f>
        <v/>
      </c>
      <c r="AJ90" s="31">
        <f>IF(A90&gt;$B$5+$B$6+$B$7,0,IF(K90&lt;&gt;0,R90/K90,0))</f>
        <v/>
      </c>
      <c r="AK90" s="31">
        <f>IF(A90&gt;$B$5+$B$6+$B$7,0,IF(S90&lt;&gt;0,Z90/S90,0))</f>
        <v/>
      </c>
      <c r="AL90" s="31">
        <f>IF(A90&gt;$B$5+$B$6+$B$7,0,IF(AA90&lt;&gt;0,AH90/AA90,0))</f>
        <v/>
      </c>
      <c r="AM90" s="30">
        <f>J90+R90+Z90+AH90</f>
        <v/>
      </c>
      <c r="AN90" s="30">
        <f>AI90+AJ90+AK90+AL90</f>
        <v/>
      </c>
    </row>
    <row r="91">
      <c r="A91" s="27" t="n">
        <v>72</v>
      </c>
      <c r="B91" s="28">
        <f>IF(A91&gt;$B$5+$B$6+$B$7,"—",IF(A91&lt;=$B$6,"Extraction",IF(A91&lt;=$B$6+$B$7,"Scrub","Strip")))</f>
        <v/>
      </c>
      <c r="C91" s="29">
        <f>IF(A91&gt;$B$5+$B$6+$B$7,0,IF(A91&lt;=$B$6,$H$6*$B$9^$I$6,IF(A91&lt;=$B$6+$B$7,$H$6*$B$10^$I$6,$H$6*$B$11^$I$6)))</f>
        <v/>
      </c>
      <c r="D91" s="29">
        <f>IF(A91&gt;$B$5+$B$6+$B$7,0,IF(A91=1,0,$B$14))</f>
        <v/>
      </c>
      <c r="E91" s="29">
        <f>IF(A91&gt;$B$5+$B$6+$B$7,0,IF(A91&gt;$B$6+$B$7,-$B$14-$B$13/C91,IF(A91&gt;$B$6,-$B$14-$B$13*$B$15/C91,-$B$14-($B$13*$B$15+$B$12)/C91)))</f>
        <v/>
      </c>
      <c r="F91" s="29">
        <f>IF(A91&gt;$B$5+$B$6+$B$7,0,IF(A91+1&gt;$B$5+$B$6+$B$7,0,IF(A91&gt;$B$6+$B$7,$B$13/C92,IF(A91&gt;=$B$6,$B$13*$B$15/C92,($B$13*$B$15+$B$12)/C92))))</f>
        <v/>
      </c>
      <c r="G91" s="29">
        <f>IF(A91&gt;$B$5+$B$6+$B$7,0,IF(A91=$B$6,-$M$6*$B$12,0))</f>
        <v/>
      </c>
      <c r="H91" s="29">
        <f>IF(A91&gt;$B$5+$B$6+$B$7,0,F91/(E91-D91*H90))</f>
        <v/>
      </c>
      <c r="I91" s="29">
        <f>IF(A91&gt;$B$5+$B$6+$B$7,0,(G91-D91*I90)/(E91-D91*H90))</f>
        <v/>
      </c>
      <c r="J91" s="30">
        <f>IF(A91&gt;$B$5+$B$6+$B$7,0,I91-H91*J92)</f>
        <v/>
      </c>
      <c r="K91" s="29">
        <f>IF(A91&gt;$B$5+$B$6+$B$7,0,IF(A91&lt;=$B$6,$H$7*$B$9^$I$7,IF(A91&lt;=$B$6+$B$7,$H$7*$B$10^$I$7,$H$7*$B$11^$I$7)))</f>
        <v/>
      </c>
      <c r="L91" s="29">
        <f>IF(A91&gt;$B$5+$B$6+$B$7,0,IF(A91=1,0,$B$14))</f>
        <v/>
      </c>
      <c r="M91" s="29">
        <f>IF(A91&gt;$B$5+$B$6+$B$7,0,IF(A91&gt;$B$6+$B$7,-$B$14-$B$13/K91,IF(A91&gt;$B$6,-$B$14-$B$13*$B$15/K91,-$B$14-($B$13*$B$15+$B$12)/K91)))</f>
        <v/>
      </c>
      <c r="N91" s="29">
        <f>IF(A91&gt;$B$5+$B$6+$B$7,0,IF(A91+1&gt;$B$5+$B$6+$B$7,0,IF(A91&gt;$B$6+$B$7,$B$13/K92,IF(A91&gt;=$B$6,$B$13*$B$15/K92,($B$13*$B$15+$B$12)/K92))))</f>
        <v/>
      </c>
      <c r="O91" s="29">
        <f>IF(A91&gt;$B$5+$B$6+$B$7,0,IF(A91=$B$6,-$M$7*$B$12,0))</f>
        <v/>
      </c>
      <c r="P91" s="29">
        <f>IF(A91&gt;$B$5+$B$6+$B$7,0,N91/(M91-L91*P90))</f>
        <v/>
      </c>
      <c r="Q91" s="29">
        <f>IF(A91&gt;$B$5+$B$6+$B$7,0,(O91-L91*Q90)/(M91-L91*P90))</f>
        <v/>
      </c>
      <c r="R91" s="30">
        <f>IF(A91&gt;$B$5+$B$6+$B$7,0,Q91-P91*R92)</f>
        <v/>
      </c>
      <c r="S91" s="29">
        <f>IF(A91&gt;$B$5+$B$6+$B$7,0,IF(A91&lt;=$B$6,$H$8*$B$9^$I$8,IF(A91&lt;=$B$6+$B$7,$H$8*$B$10^$I$8,$H$8*$B$11^$I$8)))</f>
        <v/>
      </c>
      <c r="T91" s="29">
        <f>IF(A91&gt;$B$5+$B$6+$B$7,0,IF(A91=1,0,$B$14))</f>
        <v/>
      </c>
      <c r="U91" s="29">
        <f>IF(A91&gt;$B$5+$B$6+$B$7,0,IF(A91&gt;$B$6+$B$7,-$B$14-$B$13/S91,IF(A91&gt;$B$6,-$B$14-$B$13*$B$15/S91,-$B$14-($B$13*$B$15+$B$12)/S91)))</f>
        <v/>
      </c>
      <c r="V91" s="29">
        <f>IF(A91&gt;$B$5+$B$6+$B$7,0,IF(A91+1&gt;$B$5+$B$6+$B$7,0,IF(A91&gt;$B$6+$B$7,$B$13/S92,IF(A91&gt;=$B$6,$B$13*$B$15/S92,($B$13*$B$15+$B$12)/S92))))</f>
        <v/>
      </c>
      <c r="W91" s="29">
        <f>IF(A91&gt;$B$5+$B$6+$B$7,0,IF(A91=$B$6,-$M$8*$B$12,0))</f>
        <v/>
      </c>
      <c r="X91" s="29">
        <f>IF(A91&gt;$B$5+$B$6+$B$7,0,V91/(U91-T91*X90))</f>
        <v/>
      </c>
      <c r="Y91" s="29">
        <f>IF(A91&gt;$B$5+$B$6+$B$7,0,(W91-T91*Y90)/(U91-T91*X90))</f>
        <v/>
      </c>
      <c r="Z91" s="30">
        <f>IF(A91&gt;$B$5+$B$6+$B$7,0,Y91-X91*Z92)</f>
        <v/>
      </c>
      <c r="AA91" s="29">
        <f>IF(A91&gt;$B$5+$B$6+$B$7,0,IF(A91&lt;=$B$6,$H$9*$B$9^$I$9,IF(A91&lt;=$B$6+$B$7,$H$9*$B$10^$I$9,$H$9*$B$11^$I$9)))</f>
        <v/>
      </c>
      <c r="AB91" s="29">
        <f>IF(A91&gt;$B$5+$B$6+$B$7,0,IF(A91=1,0,$B$14))</f>
        <v/>
      </c>
      <c r="AC91" s="29">
        <f>IF(A91&gt;$B$5+$B$6+$B$7,0,IF(A91&gt;$B$6+$B$7,-$B$14-$B$13/AA91,IF(A91&gt;$B$6,-$B$14-$B$13*$B$15/AA91,-$B$14-($B$13*$B$15+$B$12)/AA91)))</f>
        <v/>
      </c>
      <c r="AD91" s="29">
        <f>IF(A91&gt;$B$5+$B$6+$B$7,0,IF(A91+1&gt;$B$5+$B$6+$B$7,0,IF(A91&gt;$B$6+$B$7,$B$13/AA92,IF(A91&gt;=$B$6,$B$13*$B$15/AA92,($B$13*$B$15+$B$12)/AA92))))</f>
        <v/>
      </c>
      <c r="AE91" s="29">
        <f>IF(A91&gt;$B$5+$B$6+$B$7,0,IF(A91=$B$6,-$M$9*$B$12,0))</f>
        <v/>
      </c>
      <c r="AF91" s="29">
        <f>IF(A91&gt;$B$5+$B$6+$B$7,0,AD91/(AC91-AB91*AF90))</f>
        <v/>
      </c>
      <c r="AG91" s="29">
        <f>IF(A91&gt;$B$5+$B$6+$B$7,0,(AE91-AB91*AG90)/(AC91-AB91*AF90))</f>
        <v/>
      </c>
      <c r="AH91" s="30">
        <f>IF(A91&gt;$B$5+$B$6+$B$7,0,AG91-AF91*AH92)</f>
        <v/>
      </c>
      <c r="AI91" s="31">
        <f>IF(A91&gt;$B$5+$B$6+$B$7,0,IF(C91&lt;&gt;0,J91/C91,0))</f>
        <v/>
      </c>
      <c r="AJ91" s="31">
        <f>IF(A91&gt;$B$5+$B$6+$B$7,0,IF(K91&lt;&gt;0,R91/K91,0))</f>
        <v/>
      </c>
      <c r="AK91" s="31">
        <f>IF(A91&gt;$B$5+$B$6+$B$7,0,IF(S91&lt;&gt;0,Z91/S91,0))</f>
        <v/>
      </c>
      <c r="AL91" s="31">
        <f>IF(A91&gt;$B$5+$B$6+$B$7,0,IF(AA91&lt;&gt;0,AH91/AA91,0))</f>
        <v/>
      </c>
      <c r="AM91" s="30">
        <f>J91+R91+Z91+AH91</f>
        <v/>
      </c>
      <c r="AN91" s="30">
        <f>AI91+AJ91+AK91+AL91</f>
        <v/>
      </c>
    </row>
    <row r="92">
      <c r="A92" s="27" t="n">
        <v>73</v>
      </c>
      <c r="B92" s="28">
        <f>IF(A92&gt;$B$5+$B$6+$B$7,"—",IF(A92&lt;=$B$6,"Extraction",IF(A92&lt;=$B$6+$B$7,"Scrub","Strip")))</f>
        <v/>
      </c>
      <c r="C92" s="29">
        <f>IF(A92&gt;$B$5+$B$6+$B$7,0,IF(A92&lt;=$B$6,$H$6*$B$9^$I$6,IF(A92&lt;=$B$6+$B$7,$H$6*$B$10^$I$6,$H$6*$B$11^$I$6)))</f>
        <v/>
      </c>
      <c r="D92" s="29">
        <f>IF(A92&gt;$B$5+$B$6+$B$7,0,IF(A92=1,0,$B$14))</f>
        <v/>
      </c>
      <c r="E92" s="29">
        <f>IF(A92&gt;$B$5+$B$6+$B$7,0,IF(A92&gt;$B$6+$B$7,-$B$14-$B$13/C92,IF(A92&gt;$B$6,-$B$14-$B$13*$B$15/C92,-$B$14-($B$13*$B$15+$B$12)/C92)))</f>
        <v/>
      </c>
      <c r="F92" s="29">
        <f>IF(A92&gt;$B$5+$B$6+$B$7,0,IF(A92+1&gt;$B$5+$B$6+$B$7,0,IF(A92&gt;$B$6+$B$7,$B$13/C93,IF(A92&gt;=$B$6,$B$13*$B$15/C93,($B$13*$B$15+$B$12)/C93))))</f>
        <v/>
      </c>
      <c r="G92" s="29">
        <f>IF(A92&gt;$B$5+$B$6+$B$7,0,IF(A92=$B$6,-$M$6*$B$12,0))</f>
        <v/>
      </c>
      <c r="H92" s="29">
        <f>IF(A92&gt;$B$5+$B$6+$B$7,0,F92/(E92-D92*H91))</f>
        <v/>
      </c>
      <c r="I92" s="29">
        <f>IF(A92&gt;$B$5+$B$6+$B$7,0,(G92-D92*I91)/(E92-D92*H91))</f>
        <v/>
      </c>
      <c r="J92" s="30">
        <f>IF(A92&gt;$B$5+$B$6+$B$7,0,I92-H92*J93)</f>
        <v/>
      </c>
      <c r="K92" s="29">
        <f>IF(A92&gt;$B$5+$B$6+$B$7,0,IF(A92&lt;=$B$6,$H$7*$B$9^$I$7,IF(A92&lt;=$B$6+$B$7,$H$7*$B$10^$I$7,$H$7*$B$11^$I$7)))</f>
        <v/>
      </c>
      <c r="L92" s="29">
        <f>IF(A92&gt;$B$5+$B$6+$B$7,0,IF(A92=1,0,$B$14))</f>
        <v/>
      </c>
      <c r="M92" s="29">
        <f>IF(A92&gt;$B$5+$B$6+$B$7,0,IF(A92&gt;$B$6+$B$7,-$B$14-$B$13/K92,IF(A92&gt;$B$6,-$B$14-$B$13*$B$15/K92,-$B$14-($B$13*$B$15+$B$12)/K92)))</f>
        <v/>
      </c>
      <c r="N92" s="29">
        <f>IF(A92&gt;$B$5+$B$6+$B$7,0,IF(A92+1&gt;$B$5+$B$6+$B$7,0,IF(A92&gt;$B$6+$B$7,$B$13/K93,IF(A92&gt;=$B$6,$B$13*$B$15/K93,($B$13*$B$15+$B$12)/K93))))</f>
        <v/>
      </c>
      <c r="O92" s="29">
        <f>IF(A92&gt;$B$5+$B$6+$B$7,0,IF(A92=$B$6,-$M$7*$B$12,0))</f>
        <v/>
      </c>
      <c r="P92" s="29">
        <f>IF(A92&gt;$B$5+$B$6+$B$7,0,N92/(M92-L92*P91))</f>
        <v/>
      </c>
      <c r="Q92" s="29">
        <f>IF(A92&gt;$B$5+$B$6+$B$7,0,(O92-L92*Q91)/(M92-L92*P91))</f>
        <v/>
      </c>
      <c r="R92" s="30">
        <f>IF(A92&gt;$B$5+$B$6+$B$7,0,Q92-P92*R93)</f>
        <v/>
      </c>
      <c r="S92" s="29">
        <f>IF(A92&gt;$B$5+$B$6+$B$7,0,IF(A92&lt;=$B$6,$H$8*$B$9^$I$8,IF(A92&lt;=$B$6+$B$7,$H$8*$B$10^$I$8,$H$8*$B$11^$I$8)))</f>
        <v/>
      </c>
      <c r="T92" s="29">
        <f>IF(A92&gt;$B$5+$B$6+$B$7,0,IF(A92=1,0,$B$14))</f>
        <v/>
      </c>
      <c r="U92" s="29">
        <f>IF(A92&gt;$B$5+$B$6+$B$7,0,IF(A92&gt;$B$6+$B$7,-$B$14-$B$13/S92,IF(A92&gt;$B$6,-$B$14-$B$13*$B$15/S92,-$B$14-($B$13*$B$15+$B$12)/S92)))</f>
        <v/>
      </c>
      <c r="V92" s="29">
        <f>IF(A92&gt;$B$5+$B$6+$B$7,0,IF(A92+1&gt;$B$5+$B$6+$B$7,0,IF(A92&gt;$B$6+$B$7,$B$13/S93,IF(A92&gt;=$B$6,$B$13*$B$15/S93,($B$13*$B$15+$B$12)/S93))))</f>
        <v/>
      </c>
      <c r="W92" s="29">
        <f>IF(A92&gt;$B$5+$B$6+$B$7,0,IF(A92=$B$6,-$M$8*$B$12,0))</f>
        <v/>
      </c>
      <c r="X92" s="29">
        <f>IF(A92&gt;$B$5+$B$6+$B$7,0,V92/(U92-T92*X91))</f>
        <v/>
      </c>
      <c r="Y92" s="29">
        <f>IF(A92&gt;$B$5+$B$6+$B$7,0,(W92-T92*Y91)/(U92-T92*X91))</f>
        <v/>
      </c>
      <c r="Z92" s="30">
        <f>IF(A92&gt;$B$5+$B$6+$B$7,0,Y92-X92*Z93)</f>
        <v/>
      </c>
      <c r="AA92" s="29">
        <f>IF(A92&gt;$B$5+$B$6+$B$7,0,IF(A92&lt;=$B$6,$H$9*$B$9^$I$9,IF(A92&lt;=$B$6+$B$7,$H$9*$B$10^$I$9,$H$9*$B$11^$I$9)))</f>
        <v/>
      </c>
      <c r="AB92" s="29">
        <f>IF(A92&gt;$B$5+$B$6+$B$7,0,IF(A92=1,0,$B$14))</f>
        <v/>
      </c>
      <c r="AC92" s="29">
        <f>IF(A92&gt;$B$5+$B$6+$B$7,0,IF(A92&gt;$B$6+$B$7,-$B$14-$B$13/AA92,IF(A92&gt;$B$6,-$B$14-$B$13*$B$15/AA92,-$B$14-($B$13*$B$15+$B$12)/AA92)))</f>
        <v/>
      </c>
      <c r="AD92" s="29">
        <f>IF(A92&gt;$B$5+$B$6+$B$7,0,IF(A92+1&gt;$B$5+$B$6+$B$7,0,IF(A92&gt;$B$6+$B$7,$B$13/AA93,IF(A92&gt;=$B$6,$B$13*$B$15/AA93,($B$13*$B$15+$B$12)/AA93))))</f>
        <v/>
      </c>
      <c r="AE92" s="29">
        <f>IF(A92&gt;$B$5+$B$6+$B$7,0,IF(A92=$B$6,-$M$9*$B$12,0))</f>
        <v/>
      </c>
      <c r="AF92" s="29">
        <f>IF(A92&gt;$B$5+$B$6+$B$7,0,AD92/(AC92-AB92*AF91))</f>
        <v/>
      </c>
      <c r="AG92" s="29">
        <f>IF(A92&gt;$B$5+$B$6+$B$7,0,(AE92-AB92*AG91)/(AC92-AB92*AF91))</f>
        <v/>
      </c>
      <c r="AH92" s="30">
        <f>IF(A92&gt;$B$5+$B$6+$B$7,0,AG92-AF92*AH93)</f>
        <v/>
      </c>
      <c r="AI92" s="31">
        <f>IF(A92&gt;$B$5+$B$6+$B$7,0,IF(C92&lt;&gt;0,J92/C92,0))</f>
        <v/>
      </c>
      <c r="AJ92" s="31">
        <f>IF(A92&gt;$B$5+$B$6+$B$7,0,IF(K92&lt;&gt;0,R92/K92,0))</f>
        <v/>
      </c>
      <c r="AK92" s="31">
        <f>IF(A92&gt;$B$5+$B$6+$B$7,0,IF(S92&lt;&gt;0,Z92/S92,0))</f>
        <v/>
      </c>
      <c r="AL92" s="31">
        <f>IF(A92&gt;$B$5+$B$6+$B$7,0,IF(AA92&lt;&gt;0,AH92/AA92,0))</f>
        <v/>
      </c>
      <c r="AM92" s="30">
        <f>J92+R92+Z92+AH92</f>
        <v/>
      </c>
      <c r="AN92" s="30">
        <f>AI92+AJ92+AK92+AL92</f>
        <v/>
      </c>
    </row>
    <row r="93">
      <c r="A93" s="27" t="n">
        <v>74</v>
      </c>
      <c r="B93" s="28">
        <f>IF(A93&gt;$B$5+$B$6+$B$7,"—",IF(A93&lt;=$B$6,"Extraction",IF(A93&lt;=$B$6+$B$7,"Scrub","Strip")))</f>
        <v/>
      </c>
      <c r="C93" s="29">
        <f>IF(A93&gt;$B$5+$B$6+$B$7,0,IF(A93&lt;=$B$6,$H$6*$B$9^$I$6,IF(A93&lt;=$B$6+$B$7,$H$6*$B$10^$I$6,$H$6*$B$11^$I$6)))</f>
        <v/>
      </c>
      <c r="D93" s="29">
        <f>IF(A93&gt;$B$5+$B$6+$B$7,0,IF(A93=1,0,$B$14))</f>
        <v/>
      </c>
      <c r="E93" s="29">
        <f>IF(A93&gt;$B$5+$B$6+$B$7,0,IF(A93&gt;$B$6+$B$7,-$B$14-$B$13/C93,IF(A93&gt;$B$6,-$B$14-$B$13*$B$15/C93,-$B$14-($B$13*$B$15+$B$12)/C93)))</f>
        <v/>
      </c>
      <c r="F93" s="29">
        <f>IF(A93&gt;$B$5+$B$6+$B$7,0,IF(A93+1&gt;$B$5+$B$6+$B$7,0,IF(A93&gt;$B$6+$B$7,$B$13/C94,IF(A93&gt;=$B$6,$B$13*$B$15/C94,($B$13*$B$15+$B$12)/C94))))</f>
        <v/>
      </c>
      <c r="G93" s="29">
        <f>IF(A93&gt;$B$5+$B$6+$B$7,0,IF(A93=$B$6,-$M$6*$B$12,0))</f>
        <v/>
      </c>
      <c r="H93" s="29">
        <f>IF(A93&gt;$B$5+$B$6+$B$7,0,F93/(E93-D93*H92))</f>
        <v/>
      </c>
      <c r="I93" s="29">
        <f>IF(A93&gt;$B$5+$B$6+$B$7,0,(G93-D93*I92)/(E93-D93*H92))</f>
        <v/>
      </c>
      <c r="J93" s="30">
        <f>IF(A93&gt;$B$5+$B$6+$B$7,0,I93-H93*J94)</f>
        <v/>
      </c>
      <c r="K93" s="29">
        <f>IF(A93&gt;$B$5+$B$6+$B$7,0,IF(A93&lt;=$B$6,$H$7*$B$9^$I$7,IF(A93&lt;=$B$6+$B$7,$H$7*$B$10^$I$7,$H$7*$B$11^$I$7)))</f>
        <v/>
      </c>
      <c r="L93" s="29">
        <f>IF(A93&gt;$B$5+$B$6+$B$7,0,IF(A93=1,0,$B$14))</f>
        <v/>
      </c>
      <c r="M93" s="29">
        <f>IF(A93&gt;$B$5+$B$6+$B$7,0,IF(A93&gt;$B$6+$B$7,-$B$14-$B$13/K93,IF(A93&gt;$B$6,-$B$14-$B$13*$B$15/K93,-$B$14-($B$13*$B$15+$B$12)/K93)))</f>
        <v/>
      </c>
      <c r="N93" s="29">
        <f>IF(A93&gt;$B$5+$B$6+$B$7,0,IF(A93+1&gt;$B$5+$B$6+$B$7,0,IF(A93&gt;$B$6+$B$7,$B$13/K94,IF(A93&gt;=$B$6,$B$13*$B$15/K94,($B$13*$B$15+$B$12)/K94))))</f>
        <v/>
      </c>
      <c r="O93" s="29">
        <f>IF(A93&gt;$B$5+$B$6+$B$7,0,IF(A93=$B$6,-$M$7*$B$12,0))</f>
        <v/>
      </c>
      <c r="P93" s="29">
        <f>IF(A93&gt;$B$5+$B$6+$B$7,0,N93/(M93-L93*P92))</f>
        <v/>
      </c>
      <c r="Q93" s="29">
        <f>IF(A93&gt;$B$5+$B$6+$B$7,0,(O93-L93*Q92)/(M93-L93*P92))</f>
        <v/>
      </c>
      <c r="R93" s="30">
        <f>IF(A93&gt;$B$5+$B$6+$B$7,0,Q93-P93*R94)</f>
        <v/>
      </c>
      <c r="S93" s="29">
        <f>IF(A93&gt;$B$5+$B$6+$B$7,0,IF(A93&lt;=$B$6,$H$8*$B$9^$I$8,IF(A93&lt;=$B$6+$B$7,$H$8*$B$10^$I$8,$H$8*$B$11^$I$8)))</f>
        <v/>
      </c>
      <c r="T93" s="29">
        <f>IF(A93&gt;$B$5+$B$6+$B$7,0,IF(A93=1,0,$B$14))</f>
        <v/>
      </c>
      <c r="U93" s="29">
        <f>IF(A93&gt;$B$5+$B$6+$B$7,0,IF(A93&gt;$B$6+$B$7,-$B$14-$B$13/S93,IF(A93&gt;$B$6,-$B$14-$B$13*$B$15/S93,-$B$14-($B$13*$B$15+$B$12)/S93)))</f>
        <v/>
      </c>
      <c r="V93" s="29">
        <f>IF(A93&gt;$B$5+$B$6+$B$7,0,IF(A93+1&gt;$B$5+$B$6+$B$7,0,IF(A93&gt;$B$6+$B$7,$B$13/S94,IF(A93&gt;=$B$6,$B$13*$B$15/S94,($B$13*$B$15+$B$12)/S94))))</f>
        <v/>
      </c>
      <c r="W93" s="29">
        <f>IF(A93&gt;$B$5+$B$6+$B$7,0,IF(A93=$B$6,-$M$8*$B$12,0))</f>
        <v/>
      </c>
      <c r="X93" s="29">
        <f>IF(A93&gt;$B$5+$B$6+$B$7,0,V93/(U93-T93*X92))</f>
        <v/>
      </c>
      <c r="Y93" s="29">
        <f>IF(A93&gt;$B$5+$B$6+$B$7,0,(W93-T93*Y92)/(U93-T93*X92))</f>
        <v/>
      </c>
      <c r="Z93" s="30">
        <f>IF(A93&gt;$B$5+$B$6+$B$7,0,Y93-X93*Z94)</f>
        <v/>
      </c>
      <c r="AA93" s="29">
        <f>IF(A93&gt;$B$5+$B$6+$B$7,0,IF(A93&lt;=$B$6,$H$9*$B$9^$I$9,IF(A93&lt;=$B$6+$B$7,$H$9*$B$10^$I$9,$H$9*$B$11^$I$9)))</f>
        <v/>
      </c>
      <c r="AB93" s="29">
        <f>IF(A93&gt;$B$5+$B$6+$B$7,0,IF(A93=1,0,$B$14))</f>
        <v/>
      </c>
      <c r="AC93" s="29">
        <f>IF(A93&gt;$B$5+$B$6+$B$7,0,IF(A93&gt;$B$6+$B$7,-$B$14-$B$13/AA93,IF(A93&gt;$B$6,-$B$14-$B$13*$B$15/AA93,-$B$14-($B$13*$B$15+$B$12)/AA93)))</f>
        <v/>
      </c>
      <c r="AD93" s="29">
        <f>IF(A93&gt;$B$5+$B$6+$B$7,0,IF(A93+1&gt;$B$5+$B$6+$B$7,0,IF(A93&gt;$B$6+$B$7,$B$13/AA94,IF(A93&gt;=$B$6,$B$13*$B$15/AA94,($B$13*$B$15+$B$12)/AA94))))</f>
        <v/>
      </c>
      <c r="AE93" s="29">
        <f>IF(A93&gt;$B$5+$B$6+$B$7,0,IF(A93=$B$6,-$M$9*$B$12,0))</f>
        <v/>
      </c>
      <c r="AF93" s="29">
        <f>IF(A93&gt;$B$5+$B$6+$B$7,0,AD93/(AC93-AB93*AF92))</f>
        <v/>
      </c>
      <c r="AG93" s="29">
        <f>IF(A93&gt;$B$5+$B$6+$B$7,0,(AE93-AB93*AG92)/(AC93-AB93*AF92))</f>
        <v/>
      </c>
      <c r="AH93" s="30">
        <f>IF(A93&gt;$B$5+$B$6+$B$7,0,AG93-AF93*AH94)</f>
        <v/>
      </c>
      <c r="AI93" s="31">
        <f>IF(A93&gt;$B$5+$B$6+$B$7,0,IF(C93&lt;&gt;0,J93/C93,0))</f>
        <v/>
      </c>
      <c r="AJ93" s="31">
        <f>IF(A93&gt;$B$5+$B$6+$B$7,0,IF(K93&lt;&gt;0,R93/K93,0))</f>
        <v/>
      </c>
      <c r="AK93" s="31">
        <f>IF(A93&gt;$B$5+$B$6+$B$7,0,IF(S93&lt;&gt;0,Z93/S93,0))</f>
        <v/>
      </c>
      <c r="AL93" s="31">
        <f>IF(A93&gt;$B$5+$B$6+$B$7,0,IF(AA93&lt;&gt;0,AH93/AA93,0))</f>
        <v/>
      </c>
      <c r="AM93" s="30">
        <f>J93+R93+Z93+AH93</f>
        <v/>
      </c>
      <c r="AN93" s="30">
        <f>AI93+AJ93+AK93+AL93</f>
        <v/>
      </c>
    </row>
    <row r="94">
      <c r="A94" s="27" t="n">
        <v>75</v>
      </c>
      <c r="B94" s="28">
        <f>IF(A94&gt;$B$5+$B$6+$B$7,"—",IF(A94&lt;=$B$6,"Extraction",IF(A94&lt;=$B$6+$B$7,"Scrub","Strip")))</f>
        <v/>
      </c>
      <c r="C94" s="29">
        <f>IF(A94&gt;$B$5+$B$6+$B$7,0,IF(A94&lt;=$B$6,$H$6*$B$9^$I$6,IF(A94&lt;=$B$6+$B$7,$H$6*$B$10^$I$6,$H$6*$B$11^$I$6)))</f>
        <v/>
      </c>
      <c r="D94" s="29">
        <f>IF(A94&gt;$B$5+$B$6+$B$7,0,IF(A94=1,0,$B$14))</f>
        <v/>
      </c>
      <c r="E94" s="29">
        <f>IF(A94&gt;$B$5+$B$6+$B$7,0,IF(A94&gt;$B$6+$B$7,-$B$14-$B$13/C94,IF(A94&gt;$B$6,-$B$14-$B$13*$B$15/C94,-$B$14-($B$13*$B$15+$B$12)/C94)))</f>
        <v/>
      </c>
      <c r="F94" s="29">
        <f>IF(A94&gt;$B$5+$B$6+$B$7,0,IF(A94+1&gt;$B$5+$B$6+$B$7,0,IF(A94&gt;$B$6+$B$7,$B$13/C95,IF(A94&gt;=$B$6,$B$13*$B$15/C95,($B$13*$B$15+$B$12)/C95))))</f>
        <v/>
      </c>
      <c r="G94" s="29">
        <f>IF(A94&gt;$B$5+$B$6+$B$7,0,IF(A94=$B$6,-$M$6*$B$12,0))</f>
        <v/>
      </c>
      <c r="H94" s="29">
        <f>IF(A94&gt;$B$5+$B$6+$B$7,0,F94/(E94-D94*H93))</f>
        <v/>
      </c>
      <c r="I94" s="29">
        <f>IF(A94&gt;$B$5+$B$6+$B$7,0,(G94-D94*I93)/(E94-D94*H93))</f>
        <v/>
      </c>
      <c r="J94" s="30">
        <f>IF(A94&gt;$B$5+$B$6+$B$7,0,I94-H94*J95)</f>
        <v/>
      </c>
      <c r="K94" s="29">
        <f>IF(A94&gt;$B$5+$B$6+$B$7,0,IF(A94&lt;=$B$6,$H$7*$B$9^$I$7,IF(A94&lt;=$B$6+$B$7,$H$7*$B$10^$I$7,$H$7*$B$11^$I$7)))</f>
        <v/>
      </c>
      <c r="L94" s="29">
        <f>IF(A94&gt;$B$5+$B$6+$B$7,0,IF(A94=1,0,$B$14))</f>
        <v/>
      </c>
      <c r="M94" s="29">
        <f>IF(A94&gt;$B$5+$B$6+$B$7,0,IF(A94&gt;$B$6+$B$7,-$B$14-$B$13/K94,IF(A94&gt;$B$6,-$B$14-$B$13*$B$15/K94,-$B$14-($B$13*$B$15+$B$12)/K94)))</f>
        <v/>
      </c>
      <c r="N94" s="29">
        <f>IF(A94&gt;$B$5+$B$6+$B$7,0,IF(A94+1&gt;$B$5+$B$6+$B$7,0,IF(A94&gt;$B$6+$B$7,$B$13/K95,IF(A94&gt;=$B$6,$B$13*$B$15/K95,($B$13*$B$15+$B$12)/K95))))</f>
        <v/>
      </c>
      <c r="O94" s="29">
        <f>IF(A94&gt;$B$5+$B$6+$B$7,0,IF(A94=$B$6,-$M$7*$B$12,0))</f>
        <v/>
      </c>
      <c r="P94" s="29">
        <f>IF(A94&gt;$B$5+$B$6+$B$7,0,N94/(M94-L94*P93))</f>
        <v/>
      </c>
      <c r="Q94" s="29">
        <f>IF(A94&gt;$B$5+$B$6+$B$7,0,(O94-L94*Q93)/(M94-L94*P93))</f>
        <v/>
      </c>
      <c r="R94" s="30">
        <f>IF(A94&gt;$B$5+$B$6+$B$7,0,Q94-P94*R95)</f>
        <v/>
      </c>
      <c r="S94" s="29">
        <f>IF(A94&gt;$B$5+$B$6+$B$7,0,IF(A94&lt;=$B$6,$H$8*$B$9^$I$8,IF(A94&lt;=$B$6+$B$7,$H$8*$B$10^$I$8,$H$8*$B$11^$I$8)))</f>
        <v/>
      </c>
      <c r="T94" s="29">
        <f>IF(A94&gt;$B$5+$B$6+$B$7,0,IF(A94=1,0,$B$14))</f>
        <v/>
      </c>
      <c r="U94" s="29">
        <f>IF(A94&gt;$B$5+$B$6+$B$7,0,IF(A94&gt;$B$6+$B$7,-$B$14-$B$13/S94,IF(A94&gt;$B$6,-$B$14-$B$13*$B$15/S94,-$B$14-($B$13*$B$15+$B$12)/S94)))</f>
        <v/>
      </c>
      <c r="V94" s="29">
        <f>IF(A94&gt;$B$5+$B$6+$B$7,0,IF(A94+1&gt;$B$5+$B$6+$B$7,0,IF(A94&gt;$B$6+$B$7,$B$13/S95,IF(A94&gt;=$B$6,$B$13*$B$15/S95,($B$13*$B$15+$B$12)/S95))))</f>
        <v/>
      </c>
      <c r="W94" s="29">
        <f>IF(A94&gt;$B$5+$B$6+$B$7,0,IF(A94=$B$6,-$M$8*$B$12,0))</f>
        <v/>
      </c>
      <c r="X94" s="29">
        <f>IF(A94&gt;$B$5+$B$6+$B$7,0,V94/(U94-T94*X93))</f>
        <v/>
      </c>
      <c r="Y94" s="29">
        <f>IF(A94&gt;$B$5+$B$6+$B$7,0,(W94-T94*Y93)/(U94-T94*X93))</f>
        <v/>
      </c>
      <c r="Z94" s="30">
        <f>IF(A94&gt;$B$5+$B$6+$B$7,0,Y94-X94*Z95)</f>
        <v/>
      </c>
      <c r="AA94" s="29">
        <f>IF(A94&gt;$B$5+$B$6+$B$7,0,IF(A94&lt;=$B$6,$H$9*$B$9^$I$9,IF(A94&lt;=$B$6+$B$7,$H$9*$B$10^$I$9,$H$9*$B$11^$I$9)))</f>
        <v/>
      </c>
      <c r="AB94" s="29">
        <f>IF(A94&gt;$B$5+$B$6+$B$7,0,IF(A94=1,0,$B$14))</f>
        <v/>
      </c>
      <c r="AC94" s="29">
        <f>IF(A94&gt;$B$5+$B$6+$B$7,0,IF(A94&gt;$B$6+$B$7,-$B$14-$B$13/AA94,IF(A94&gt;$B$6,-$B$14-$B$13*$B$15/AA94,-$B$14-($B$13*$B$15+$B$12)/AA94)))</f>
        <v/>
      </c>
      <c r="AD94" s="29">
        <f>IF(A94&gt;$B$5+$B$6+$B$7,0,IF(A94+1&gt;$B$5+$B$6+$B$7,0,IF(A94&gt;$B$6+$B$7,$B$13/AA95,IF(A94&gt;=$B$6,$B$13*$B$15/AA95,($B$13*$B$15+$B$12)/AA95))))</f>
        <v/>
      </c>
      <c r="AE94" s="29">
        <f>IF(A94&gt;$B$5+$B$6+$B$7,0,IF(A94=$B$6,-$M$9*$B$12,0))</f>
        <v/>
      </c>
      <c r="AF94" s="29">
        <f>IF(A94&gt;$B$5+$B$6+$B$7,0,AD94/(AC94-AB94*AF93))</f>
        <v/>
      </c>
      <c r="AG94" s="29">
        <f>IF(A94&gt;$B$5+$B$6+$B$7,0,(AE94-AB94*AG93)/(AC94-AB94*AF93))</f>
        <v/>
      </c>
      <c r="AH94" s="30">
        <f>IF(A94&gt;$B$5+$B$6+$B$7,0,AG94-AF94*AH95)</f>
        <v/>
      </c>
      <c r="AI94" s="31">
        <f>IF(A94&gt;$B$5+$B$6+$B$7,0,IF(C94&lt;&gt;0,J94/C94,0))</f>
        <v/>
      </c>
      <c r="AJ94" s="31">
        <f>IF(A94&gt;$B$5+$B$6+$B$7,0,IF(K94&lt;&gt;0,R94/K94,0))</f>
        <v/>
      </c>
      <c r="AK94" s="31">
        <f>IF(A94&gt;$B$5+$B$6+$B$7,0,IF(S94&lt;&gt;0,Z94/S94,0))</f>
        <v/>
      </c>
      <c r="AL94" s="31">
        <f>IF(A94&gt;$B$5+$B$6+$B$7,0,IF(AA94&lt;&gt;0,AH94/AA94,0))</f>
        <v/>
      </c>
      <c r="AM94" s="30">
        <f>J94+R94+Z94+AH94</f>
        <v/>
      </c>
      <c r="AN94" s="30">
        <f>AI94+AJ94+AK94+AL94</f>
        <v/>
      </c>
    </row>
    <row r="95">
      <c r="A95" s="27" t="n">
        <v>76</v>
      </c>
      <c r="B95" s="28">
        <f>IF(A95&gt;$B$5+$B$6+$B$7,"—",IF(A95&lt;=$B$6,"Extraction",IF(A95&lt;=$B$6+$B$7,"Scrub","Strip")))</f>
        <v/>
      </c>
      <c r="C95" s="29">
        <f>IF(A95&gt;$B$5+$B$6+$B$7,0,IF(A95&lt;=$B$6,$H$6*$B$9^$I$6,IF(A95&lt;=$B$6+$B$7,$H$6*$B$10^$I$6,$H$6*$B$11^$I$6)))</f>
        <v/>
      </c>
      <c r="D95" s="29">
        <f>IF(A95&gt;$B$5+$B$6+$B$7,0,IF(A95=1,0,$B$14))</f>
        <v/>
      </c>
      <c r="E95" s="29">
        <f>IF(A95&gt;$B$5+$B$6+$B$7,0,IF(A95&gt;$B$6+$B$7,-$B$14-$B$13/C95,IF(A95&gt;$B$6,-$B$14-$B$13*$B$15/C95,-$B$14-($B$13*$B$15+$B$12)/C95)))</f>
        <v/>
      </c>
      <c r="F95" s="29">
        <f>IF(A95&gt;$B$5+$B$6+$B$7,0,IF(A95+1&gt;$B$5+$B$6+$B$7,0,IF(A95&gt;$B$6+$B$7,$B$13/C96,IF(A95&gt;=$B$6,$B$13*$B$15/C96,($B$13*$B$15+$B$12)/C96))))</f>
        <v/>
      </c>
      <c r="G95" s="29">
        <f>IF(A95&gt;$B$5+$B$6+$B$7,0,IF(A95=$B$6,-$M$6*$B$12,0))</f>
        <v/>
      </c>
      <c r="H95" s="29">
        <f>IF(A95&gt;$B$5+$B$6+$B$7,0,F95/(E95-D95*H94))</f>
        <v/>
      </c>
      <c r="I95" s="29">
        <f>IF(A95&gt;$B$5+$B$6+$B$7,0,(G95-D95*I94)/(E95-D95*H94))</f>
        <v/>
      </c>
      <c r="J95" s="30">
        <f>IF(A95&gt;$B$5+$B$6+$B$7,0,I95-H95*J96)</f>
        <v/>
      </c>
      <c r="K95" s="29">
        <f>IF(A95&gt;$B$5+$B$6+$B$7,0,IF(A95&lt;=$B$6,$H$7*$B$9^$I$7,IF(A95&lt;=$B$6+$B$7,$H$7*$B$10^$I$7,$H$7*$B$11^$I$7)))</f>
        <v/>
      </c>
      <c r="L95" s="29">
        <f>IF(A95&gt;$B$5+$B$6+$B$7,0,IF(A95=1,0,$B$14))</f>
        <v/>
      </c>
      <c r="M95" s="29">
        <f>IF(A95&gt;$B$5+$B$6+$B$7,0,IF(A95&gt;$B$6+$B$7,-$B$14-$B$13/K95,IF(A95&gt;$B$6,-$B$14-$B$13*$B$15/K95,-$B$14-($B$13*$B$15+$B$12)/K95)))</f>
        <v/>
      </c>
      <c r="N95" s="29">
        <f>IF(A95&gt;$B$5+$B$6+$B$7,0,IF(A95+1&gt;$B$5+$B$6+$B$7,0,IF(A95&gt;$B$6+$B$7,$B$13/K96,IF(A95&gt;=$B$6,$B$13*$B$15/K96,($B$13*$B$15+$B$12)/K96))))</f>
        <v/>
      </c>
      <c r="O95" s="29">
        <f>IF(A95&gt;$B$5+$B$6+$B$7,0,IF(A95=$B$6,-$M$7*$B$12,0))</f>
        <v/>
      </c>
      <c r="P95" s="29">
        <f>IF(A95&gt;$B$5+$B$6+$B$7,0,N95/(M95-L95*P94))</f>
        <v/>
      </c>
      <c r="Q95" s="29">
        <f>IF(A95&gt;$B$5+$B$6+$B$7,0,(O95-L95*Q94)/(M95-L95*P94))</f>
        <v/>
      </c>
      <c r="R95" s="30">
        <f>IF(A95&gt;$B$5+$B$6+$B$7,0,Q95-P95*R96)</f>
        <v/>
      </c>
      <c r="S95" s="29">
        <f>IF(A95&gt;$B$5+$B$6+$B$7,0,IF(A95&lt;=$B$6,$H$8*$B$9^$I$8,IF(A95&lt;=$B$6+$B$7,$H$8*$B$10^$I$8,$H$8*$B$11^$I$8)))</f>
        <v/>
      </c>
      <c r="T95" s="29">
        <f>IF(A95&gt;$B$5+$B$6+$B$7,0,IF(A95=1,0,$B$14))</f>
        <v/>
      </c>
      <c r="U95" s="29">
        <f>IF(A95&gt;$B$5+$B$6+$B$7,0,IF(A95&gt;$B$6+$B$7,-$B$14-$B$13/S95,IF(A95&gt;$B$6,-$B$14-$B$13*$B$15/S95,-$B$14-($B$13*$B$15+$B$12)/S95)))</f>
        <v/>
      </c>
      <c r="V95" s="29">
        <f>IF(A95&gt;$B$5+$B$6+$B$7,0,IF(A95+1&gt;$B$5+$B$6+$B$7,0,IF(A95&gt;$B$6+$B$7,$B$13/S96,IF(A95&gt;=$B$6,$B$13*$B$15/S96,($B$13*$B$15+$B$12)/S96))))</f>
        <v/>
      </c>
      <c r="W95" s="29">
        <f>IF(A95&gt;$B$5+$B$6+$B$7,0,IF(A95=$B$6,-$M$8*$B$12,0))</f>
        <v/>
      </c>
      <c r="X95" s="29">
        <f>IF(A95&gt;$B$5+$B$6+$B$7,0,V95/(U95-T95*X94))</f>
        <v/>
      </c>
      <c r="Y95" s="29">
        <f>IF(A95&gt;$B$5+$B$6+$B$7,0,(W95-T95*Y94)/(U95-T95*X94))</f>
        <v/>
      </c>
      <c r="Z95" s="30">
        <f>IF(A95&gt;$B$5+$B$6+$B$7,0,Y95-X95*Z96)</f>
        <v/>
      </c>
      <c r="AA95" s="29">
        <f>IF(A95&gt;$B$5+$B$6+$B$7,0,IF(A95&lt;=$B$6,$H$9*$B$9^$I$9,IF(A95&lt;=$B$6+$B$7,$H$9*$B$10^$I$9,$H$9*$B$11^$I$9)))</f>
        <v/>
      </c>
      <c r="AB95" s="29">
        <f>IF(A95&gt;$B$5+$B$6+$B$7,0,IF(A95=1,0,$B$14))</f>
        <v/>
      </c>
      <c r="AC95" s="29">
        <f>IF(A95&gt;$B$5+$B$6+$B$7,0,IF(A95&gt;$B$6+$B$7,-$B$14-$B$13/AA95,IF(A95&gt;$B$6,-$B$14-$B$13*$B$15/AA95,-$B$14-($B$13*$B$15+$B$12)/AA95)))</f>
        <v/>
      </c>
      <c r="AD95" s="29">
        <f>IF(A95&gt;$B$5+$B$6+$B$7,0,IF(A95+1&gt;$B$5+$B$6+$B$7,0,IF(A95&gt;$B$6+$B$7,$B$13/AA96,IF(A95&gt;=$B$6,$B$13*$B$15/AA96,($B$13*$B$15+$B$12)/AA96))))</f>
        <v/>
      </c>
      <c r="AE95" s="29">
        <f>IF(A95&gt;$B$5+$B$6+$B$7,0,IF(A95=$B$6,-$M$9*$B$12,0))</f>
        <v/>
      </c>
      <c r="AF95" s="29">
        <f>IF(A95&gt;$B$5+$B$6+$B$7,0,AD95/(AC95-AB95*AF94))</f>
        <v/>
      </c>
      <c r="AG95" s="29">
        <f>IF(A95&gt;$B$5+$B$6+$B$7,0,(AE95-AB95*AG94)/(AC95-AB95*AF94))</f>
        <v/>
      </c>
      <c r="AH95" s="30">
        <f>IF(A95&gt;$B$5+$B$6+$B$7,0,AG95-AF95*AH96)</f>
        <v/>
      </c>
      <c r="AI95" s="31">
        <f>IF(A95&gt;$B$5+$B$6+$B$7,0,IF(C95&lt;&gt;0,J95/C95,0))</f>
        <v/>
      </c>
      <c r="AJ95" s="31">
        <f>IF(A95&gt;$B$5+$B$6+$B$7,0,IF(K95&lt;&gt;0,R95/K95,0))</f>
        <v/>
      </c>
      <c r="AK95" s="31">
        <f>IF(A95&gt;$B$5+$B$6+$B$7,0,IF(S95&lt;&gt;0,Z95/S95,0))</f>
        <v/>
      </c>
      <c r="AL95" s="31">
        <f>IF(A95&gt;$B$5+$B$6+$B$7,0,IF(AA95&lt;&gt;0,AH95/AA95,0))</f>
        <v/>
      </c>
      <c r="AM95" s="30">
        <f>J95+R95+Z95+AH95</f>
        <v/>
      </c>
      <c r="AN95" s="30">
        <f>AI95+AJ95+AK95+AL95</f>
        <v/>
      </c>
    </row>
    <row r="96">
      <c r="A96" s="27" t="n">
        <v>77</v>
      </c>
      <c r="B96" s="28">
        <f>IF(A96&gt;$B$5+$B$6+$B$7,"—",IF(A96&lt;=$B$6,"Extraction",IF(A96&lt;=$B$6+$B$7,"Scrub","Strip")))</f>
        <v/>
      </c>
      <c r="C96" s="29">
        <f>IF(A96&gt;$B$5+$B$6+$B$7,0,IF(A96&lt;=$B$6,$H$6*$B$9^$I$6,IF(A96&lt;=$B$6+$B$7,$H$6*$B$10^$I$6,$H$6*$B$11^$I$6)))</f>
        <v/>
      </c>
      <c r="D96" s="29">
        <f>IF(A96&gt;$B$5+$B$6+$B$7,0,IF(A96=1,0,$B$14))</f>
        <v/>
      </c>
      <c r="E96" s="29">
        <f>IF(A96&gt;$B$5+$B$6+$B$7,0,IF(A96&gt;$B$6+$B$7,-$B$14-$B$13/C96,IF(A96&gt;$B$6,-$B$14-$B$13*$B$15/C96,-$B$14-($B$13*$B$15+$B$12)/C96)))</f>
        <v/>
      </c>
      <c r="F96" s="29">
        <f>IF(A96&gt;$B$5+$B$6+$B$7,0,IF(A96+1&gt;$B$5+$B$6+$B$7,0,IF(A96&gt;$B$6+$B$7,$B$13/C97,IF(A96&gt;=$B$6,$B$13*$B$15/C97,($B$13*$B$15+$B$12)/C97))))</f>
        <v/>
      </c>
      <c r="G96" s="29">
        <f>IF(A96&gt;$B$5+$B$6+$B$7,0,IF(A96=$B$6,-$M$6*$B$12,0))</f>
        <v/>
      </c>
      <c r="H96" s="29">
        <f>IF(A96&gt;$B$5+$B$6+$B$7,0,F96/(E96-D96*H95))</f>
        <v/>
      </c>
      <c r="I96" s="29">
        <f>IF(A96&gt;$B$5+$B$6+$B$7,0,(G96-D96*I95)/(E96-D96*H95))</f>
        <v/>
      </c>
      <c r="J96" s="30">
        <f>IF(A96&gt;$B$5+$B$6+$B$7,0,I96-H96*J97)</f>
        <v/>
      </c>
      <c r="K96" s="29">
        <f>IF(A96&gt;$B$5+$B$6+$B$7,0,IF(A96&lt;=$B$6,$H$7*$B$9^$I$7,IF(A96&lt;=$B$6+$B$7,$H$7*$B$10^$I$7,$H$7*$B$11^$I$7)))</f>
        <v/>
      </c>
      <c r="L96" s="29">
        <f>IF(A96&gt;$B$5+$B$6+$B$7,0,IF(A96=1,0,$B$14))</f>
        <v/>
      </c>
      <c r="M96" s="29">
        <f>IF(A96&gt;$B$5+$B$6+$B$7,0,IF(A96&gt;$B$6+$B$7,-$B$14-$B$13/K96,IF(A96&gt;$B$6,-$B$14-$B$13*$B$15/K96,-$B$14-($B$13*$B$15+$B$12)/K96)))</f>
        <v/>
      </c>
      <c r="N96" s="29">
        <f>IF(A96&gt;$B$5+$B$6+$B$7,0,IF(A96+1&gt;$B$5+$B$6+$B$7,0,IF(A96&gt;$B$6+$B$7,$B$13/K97,IF(A96&gt;=$B$6,$B$13*$B$15/K97,($B$13*$B$15+$B$12)/K97))))</f>
        <v/>
      </c>
      <c r="O96" s="29">
        <f>IF(A96&gt;$B$5+$B$6+$B$7,0,IF(A96=$B$6,-$M$7*$B$12,0))</f>
        <v/>
      </c>
      <c r="P96" s="29">
        <f>IF(A96&gt;$B$5+$B$6+$B$7,0,N96/(M96-L96*P95))</f>
        <v/>
      </c>
      <c r="Q96" s="29">
        <f>IF(A96&gt;$B$5+$B$6+$B$7,0,(O96-L96*Q95)/(M96-L96*P95))</f>
        <v/>
      </c>
      <c r="R96" s="30">
        <f>IF(A96&gt;$B$5+$B$6+$B$7,0,Q96-P96*R97)</f>
        <v/>
      </c>
      <c r="S96" s="29">
        <f>IF(A96&gt;$B$5+$B$6+$B$7,0,IF(A96&lt;=$B$6,$H$8*$B$9^$I$8,IF(A96&lt;=$B$6+$B$7,$H$8*$B$10^$I$8,$H$8*$B$11^$I$8)))</f>
        <v/>
      </c>
      <c r="T96" s="29">
        <f>IF(A96&gt;$B$5+$B$6+$B$7,0,IF(A96=1,0,$B$14))</f>
        <v/>
      </c>
      <c r="U96" s="29">
        <f>IF(A96&gt;$B$5+$B$6+$B$7,0,IF(A96&gt;$B$6+$B$7,-$B$14-$B$13/S96,IF(A96&gt;$B$6,-$B$14-$B$13*$B$15/S96,-$B$14-($B$13*$B$15+$B$12)/S96)))</f>
        <v/>
      </c>
      <c r="V96" s="29">
        <f>IF(A96&gt;$B$5+$B$6+$B$7,0,IF(A96+1&gt;$B$5+$B$6+$B$7,0,IF(A96&gt;$B$6+$B$7,$B$13/S97,IF(A96&gt;=$B$6,$B$13*$B$15/S97,($B$13*$B$15+$B$12)/S97))))</f>
        <v/>
      </c>
      <c r="W96" s="29">
        <f>IF(A96&gt;$B$5+$B$6+$B$7,0,IF(A96=$B$6,-$M$8*$B$12,0))</f>
        <v/>
      </c>
      <c r="X96" s="29">
        <f>IF(A96&gt;$B$5+$B$6+$B$7,0,V96/(U96-T96*X95))</f>
        <v/>
      </c>
      <c r="Y96" s="29">
        <f>IF(A96&gt;$B$5+$B$6+$B$7,0,(W96-T96*Y95)/(U96-T96*X95))</f>
        <v/>
      </c>
      <c r="Z96" s="30">
        <f>IF(A96&gt;$B$5+$B$6+$B$7,0,Y96-X96*Z97)</f>
        <v/>
      </c>
      <c r="AA96" s="29">
        <f>IF(A96&gt;$B$5+$B$6+$B$7,0,IF(A96&lt;=$B$6,$H$9*$B$9^$I$9,IF(A96&lt;=$B$6+$B$7,$H$9*$B$10^$I$9,$H$9*$B$11^$I$9)))</f>
        <v/>
      </c>
      <c r="AB96" s="29">
        <f>IF(A96&gt;$B$5+$B$6+$B$7,0,IF(A96=1,0,$B$14))</f>
        <v/>
      </c>
      <c r="AC96" s="29">
        <f>IF(A96&gt;$B$5+$B$6+$B$7,0,IF(A96&gt;$B$6+$B$7,-$B$14-$B$13/AA96,IF(A96&gt;$B$6,-$B$14-$B$13*$B$15/AA96,-$B$14-($B$13*$B$15+$B$12)/AA96)))</f>
        <v/>
      </c>
      <c r="AD96" s="29">
        <f>IF(A96&gt;$B$5+$B$6+$B$7,0,IF(A96+1&gt;$B$5+$B$6+$B$7,0,IF(A96&gt;$B$6+$B$7,$B$13/AA97,IF(A96&gt;=$B$6,$B$13*$B$15/AA97,($B$13*$B$15+$B$12)/AA97))))</f>
        <v/>
      </c>
      <c r="AE96" s="29">
        <f>IF(A96&gt;$B$5+$B$6+$B$7,0,IF(A96=$B$6,-$M$9*$B$12,0))</f>
        <v/>
      </c>
      <c r="AF96" s="29">
        <f>IF(A96&gt;$B$5+$B$6+$B$7,0,AD96/(AC96-AB96*AF95))</f>
        <v/>
      </c>
      <c r="AG96" s="29">
        <f>IF(A96&gt;$B$5+$B$6+$B$7,0,(AE96-AB96*AG95)/(AC96-AB96*AF95))</f>
        <v/>
      </c>
      <c r="AH96" s="30">
        <f>IF(A96&gt;$B$5+$B$6+$B$7,0,AG96-AF96*AH97)</f>
        <v/>
      </c>
      <c r="AI96" s="31">
        <f>IF(A96&gt;$B$5+$B$6+$B$7,0,IF(C96&lt;&gt;0,J96/C96,0))</f>
        <v/>
      </c>
      <c r="AJ96" s="31">
        <f>IF(A96&gt;$B$5+$B$6+$B$7,0,IF(K96&lt;&gt;0,R96/K96,0))</f>
        <v/>
      </c>
      <c r="AK96" s="31">
        <f>IF(A96&gt;$B$5+$B$6+$B$7,0,IF(S96&lt;&gt;0,Z96/S96,0))</f>
        <v/>
      </c>
      <c r="AL96" s="31">
        <f>IF(A96&gt;$B$5+$B$6+$B$7,0,IF(AA96&lt;&gt;0,AH96/AA96,0))</f>
        <v/>
      </c>
      <c r="AM96" s="30">
        <f>J96+R96+Z96+AH96</f>
        <v/>
      </c>
      <c r="AN96" s="30">
        <f>AI96+AJ96+AK96+AL96</f>
        <v/>
      </c>
    </row>
    <row r="97">
      <c r="A97" s="27" t="n">
        <v>78</v>
      </c>
      <c r="B97" s="28">
        <f>IF(A97&gt;$B$5+$B$6+$B$7,"—",IF(A97&lt;=$B$6,"Extraction",IF(A97&lt;=$B$6+$B$7,"Scrub","Strip")))</f>
        <v/>
      </c>
      <c r="C97" s="29">
        <f>IF(A97&gt;$B$5+$B$6+$B$7,0,IF(A97&lt;=$B$6,$H$6*$B$9^$I$6,IF(A97&lt;=$B$6+$B$7,$H$6*$B$10^$I$6,$H$6*$B$11^$I$6)))</f>
        <v/>
      </c>
      <c r="D97" s="29">
        <f>IF(A97&gt;$B$5+$B$6+$B$7,0,IF(A97=1,0,$B$14))</f>
        <v/>
      </c>
      <c r="E97" s="29">
        <f>IF(A97&gt;$B$5+$B$6+$B$7,0,IF(A97&gt;$B$6+$B$7,-$B$14-$B$13/C97,IF(A97&gt;$B$6,-$B$14-$B$13*$B$15/C97,-$B$14-($B$13*$B$15+$B$12)/C97)))</f>
        <v/>
      </c>
      <c r="F97" s="29">
        <f>IF(A97&gt;$B$5+$B$6+$B$7,0,IF(A97+1&gt;$B$5+$B$6+$B$7,0,IF(A97&gt;$B$6+$B$7,$B$13/C98,IF(A97&gt;=$B$6,$B$13*$B$15/C98,($B$13*$B$15+$B$12)/C98))))</f>
        <v/>
      </c>
      <c r="G97" s="29">
        <f>IF(A97&gt;$B$5+$B$6+$B$7,0,IF(A97=$B$6,-$M$6*$B$12,0))</f>
        <v/>
      </c>
      <c r="H97" s="29">
        <f>IF(A97&gt;$B$5+$B$6+$B$7,0,F97/(E97-D97*H96))</f>
        <v/>
      </c>
      <c r="I97" s="29">
        <f>IF(A97&gt;$B$5+$B$6+$B$7,0,(G97-D97*I96)/(E97-D97*H96))</f>
        <v/>
      </c>
      <c r="J97" s="30">
        <f>IF(A97&gt;$B$5+$B$6+$B$7,0,I97-H97*J98)</f>
        <v/>
      </c>
      <c r="K97" s="29">
        <f>IF(A97&gt;$B$5+$B$6+$B$7,0,IF(A97&lt;=$B$6,$H$7*$B$9^$I$7,IF(A97&lt;=$B$6+$B$7,$H$7*$B$10^$I$7,$H$7*$B$11^$I$7)))</f>
        <v/>
      </c>
      <c r="L97" s="29">
        <f>IF(A97&gt;$B$5+$B$6+$B$7,0,IF(A97=1,0,$B$14))</f>
        <v/>
      </c>
      <c r="M97" s="29">
        <f>IF(A97&gt;$B$5+$B$6+$B$7,0,IF(A97&gt;$B$6+$B$7,-$B$14-$B$13/K97,IF(A97&gt;$B$6,-$B$14-$B$13*$B$15/K97,-$B$14-($B$13*$B$15+$B$12)/K97)))</f>
        <v/>
      </c>
      <c r="N97" s="29">
        <f>IF(A97&gt;$B$5+$B$6+$B$7,0,IF(A97+1&gt;$B$5+$B$6+$B$7,0,IF(A97&gt;$B$6+$B$7,$B$13/K98,IF(A97&gt;=$B$6,$B$13*$B$15/K98,($B$13*$B$15+$B$12)/K98))))</f>
        <v/>
      </c>
      <c r="O97" s="29">
        <f>IF(A97&gt;$B$5+$B$6+$B$7,0,IF(A97=$B$6,-$M$7*$B$12,0))</f>
        <v/>
      </c>
      <c r="P97" s="29">
        <f>IF(A97&gt;$B$5+$B$6+$B$7,0,N97/(M97-L97*P96))</f>
        <v/>
      </c>
      <c r="Q97" s="29">
        <f>IF(A97&gt;$B$5+$B$6+$B$7,0,(O97-L97*Q96)/(M97-L97*P96))</f>
        <v/>
      </c>
      <c r="R97" s="30">
        <f>IF(A97&gt;$B$5+$B$6+$B$7,0,Q97-P97*R98)</f>
        <v/>
      </c>
      <c r="S97" s="29">
        <f>IF(A97&gt;$B$5+$B$6+$B$7,0,IF(A97&lt;=$B$6,$H$8*$B$9^$I$8,IF(A97&lt;=$B$6+$B$7,$H$8*$B$10^$I$8,$H$8*$B$11^$I$8)))</f>
        <v/>
      </c>
      <c r="T97" s="29">
        <f>IF(A97&gt;$B$5+$B$6+$B$7,0,IF(A97=1,0,$B$14))</f>
        <v/>
      </c>
      <c r="U97" s="29">
        <f>IF(A97&gt;$B$5+$B$6+$B$7,0,IF(A97&gt;$B$6+$B$7,-$B$14-$B$13/S97,IF(A97&gt;$B$6,-$B$14-$B$13*$B$15/S97,-$B$14-($B$13*$B$15+$B$12)/S97)))</f>
        <v/>
      </c>
      <c r="V97" s="29">
        <f>IF(A97&gt;$B$5+$B$6+$B$7,0,IF(A97+1&gt;$B$5+$B$6+$B$7,0,IF(A97&gt;$B$6+$B$7,$B$13/S98,IF(A97&gt;=$B$6,$B$13*$B$15/S98,($B$13*$B$15+$B$12)/S98))))</f>
        <v/>
      </c>
      <c r="W97" s="29">
        <f>IF(A97&gt;$B$5+$B$6+$B$7,0,IF(A97=$B$6,-$M$8*$B$12,0))</f>
        <v/>
      </c>
      <c r="X97" s="29">
        <f>IF(A97&gt;$B$5+$B$6+$B$7,0,V97/(U97-T97*X96))</f>
        <v/>
      </c>
      <c r="Y97" s="29">
        <f>IF(A97&gt;$B$5+$B$6+$B$7,0,(W97-T97*Y96)/(U97-T97*X96))</f>
        <v/>
      </c>
      <c r="Z97" s="30">
        <f>IF(A97&gt;$B$5+$B$6+$B$7,0,Y97-X97*Z98)</f>
        <v/>
      </c>
      <c r="AA97" s="29">
        <f>IF(A97&gt;$B$5+$B$6+$B$7,0,IF(A97&lt;=$B$6,$H$9*$B$9^$I$9,IF(A97&lt;=$B$6+$B$7,$H$9*$B$10^$I$9,$H$9*$B$11^$I$9)))</f>
        <v/>
      </c>
      <c r="AB97" s="29">
        <f>IF(A97&gt;$B$5+$B$6+$B$7,0,IF(A97=1,0,$B$14))</f>
        <v/>
      </c>
      <c r="AC97" s="29">
        <f>IF(A97&gt;$B$5+$B$6+$B$7,0,IF(A97&gt;$B$6+$B$7,-$B$14-$B$13/AA97,IF(A97&gt;$B$6,-$B$14-$B$13*$B$15/AA97,-$B$14-($B$13*$B$15+$B$12)/AA97)))</f>
        <v/>
      </c>
      <c r="AD97" s="29">
        <f>IF(A97&gt;$B$5+$B$6+$B$7,0,IF(A97+1&gt;$B$5+$B$6+$B$7,0,IF(A97&gt;$B$6+$B$7,$B$13/AA98,IF(A97&gt;=$B$6,$B$13*$B$15/AA98,($B$13*$B$15+$B$12)/AA98))))</f>
        <v/>
      </c>
      <c r="AE97" s="29">
        <f>IF(A97&gt;$B$5+$B$6+$B$7,0,IF(A97=$B$6,-$M$9*$B$12,0))</f>
        <v/>
      </c>
      <c r="AF97" s="29">
        <f>IF(A97&gt;$B$5+$B$6+$B$7,0,AD97/(AC97-AB97*AF96))</f>
        <v/>
      </c>
      <c r="AG97" s="29">
        <f>IF(A97&gt;$B$5+$B$6+$B$7,0,(AE97-AB97*AG96)/(AC97-AB97*AF96))</f>
        <v/>
      </c>
      <c r="AH97" s="30">
        <f>IF(A97&gt;$B$5+$B$6+$B$7,0,AG97-AF97*AH98)</f>
        <v/>
      </c>
      <c r="AI97" s="31">
        <f>IF(A97&gt;$B$5+$B$6+$B$7,0,IF(C97&lt;&gt;0,J97/C97,0))</f>
        <v/>
      </c>
      <c r="AJ97" s="31">
        <f>IF(A97&gt;$B$5+$B$6+$B$7,0,IF(K97&lt;&gt;0,R97/K97,0))</f>
        <v/>
      </c>
      <c r="AK97" s="31">
        <f>IF(A97&gt;$B$5+$B$6+$B$7,0,IF(S97&lt;&gt;0,Z97/S97,0))</f>
        <v/>
      </c>
      <c r="AL97" s="31">
        <f>IF(A97&gt;$B$5+$B$6+$B$7,0,IF(AA97&lt;&gt;0,AH97/AA97,0))</f>
        <v/>
      </c>
      <c r="AM97" s="30">
        <f>J97+R97+Z97+AH97</f>
        <v/>
      </c>
      <c r="AN97" s="30">
        <f>AI97+AJ97+AK97+AL97</f>
        <v/>
      </c>
    </row>
    <row r="98">
      <c r="A98" s="27" t="n">
        <v>79</v>
      </c>
      <c r="B98" s="28">
        <f>IF(A98&gt;$B$5+$B$6+$B$7,"—",IF(A98&lt;=$B$6,"Extraction",IF(A98&lt;=$B$6+$B$7,"Scrub","Strip")))</f>
        <v/>
      </c>
      <c r="C98" s="29">
        <f>IF(A98&gt;$B$5+$B$6+$B$7,0,IF(A98&lt;=$B$6,$H$6*$B$9^$I$6,IF(A98&lt;=$B$6+$B$7,$H$6*$B$10^$I$6,$H$6*$B$11^$I$6)))</f>
        <v/>
      </c>
      <c r="D98" s="29">
        <f>IF(A98&gt;$B$5+$B$6+$B$7,0,IF(A98=1,0,$B$14))</f>
        <v/>
      </c>
      <c r="E98" s="29">
        <f>IF(A98&gt;$B$5+$B$6+$B$7,0,IF(A98&gt;$B$6+$B$7,-$B$14-$B$13/C98,IF(A98&gt;$B$6,-$B$14-$B$13*$B$15/C98,-$B$14-($B$13*$B$15+$B$12)/C98)))</f>
        <v/>
      </c>
      <c r="F98" s="29">
        <f>IF(A98&gt;$B$5+$B$6+$B$7,0,IF(A98+1&gt;$B$5+$B$6+$B$7,0,IF(A98&gt;$B$6+$B$7,$B$13/C99,IF(A98&gt;=$B$6,$B$13*$B$15/C99,($B$13*$B$15+$B$12)/C99))))</f>
        <v/>
      </c>
      <c r="G98" s="29">
        <f>IF(A98&gt;$B$5+$B$6+$B$7,0,IF(A98=$B$6,-$M$6*$B$12,0))</f>
        <v/>
      </c>
      <c r="H98" s="29">
        <f>IF(A98&gt;$B$5+$B$6+$B$7,0,F98/(E98-D98*H97))</f>
        <v/>
      </c>
      <c r="I98" s="29">
        <f>IF(A98&gt;$B$5+$B$6+$B$7,0,(G98-D98*I97)/(E98-D98*H97))</f>
        <v/>
      </c>
      <c r="J98" s="30">
        <f>IF(A98&gt;$B$5+$B$6+$B$7,0,I98-H98*J99)</f>
        <v/>
      </c>
      <c r="K98" s="29">
        <f>IF(A98&gt;$B$5+$B$6+$B$7,0,IF(A98&lt;=$B$6,$H$7*$B$9^$I$7,IF(A98&lt;=$B$6+$B$7,$H$7*$B$10^$I$7,$H$7*$B$11^$I$7)))</f>
        <v/>
      </c>
      <c r="L98" s="29">
        <f>IF(A98&gt;$B$5+$B$6+$B$7,0,IF(A98=1,0,$B$14))</f>
        <v/>
      </c>
      <c r="M98" s="29">
        <f>IF(A98&gt;$B$5+$B$6+$B$7,0,IF(A98&gt;$B$6+$B$7,-$B$14-$B$13/K98,IF(A98&gt;$B$6,-$B$14-$B$13*$B$15/K98,-$B$14-($B$13*$B$15+$B$12)/K98)))</f>
        <v/>
      </c>
      <c r="N98" s="29">
        <f>IF(A98&gt;$B$5+$B$6+$B$7,0,IF(A98+1&gt;$B$5+$B$6+$B$7,0,IF(A98&gt;$B$6+$B$7,$B$13/K99,IF(A98&gt;=$B$6,$B$13*$B$15/K99,($B$13*$B$15+$B$12)/K99))))</f>
        <v/>
      </c>
      <c r="O98" s="29">
        <f>IF(A98&gt;$B$5+$B$6+$B$7,0,IF(A98=$B$6,-$M$7*$B$12,0))</f>
        <v/>
      </c>
      <c r="P98" s="29">
        <f>IF(A98&gt;$B$5+$B$6+$B$7,0,N98/(M98-L98*P97))</f>
        <v/>
      </c>
      <c r="Q98" s="29">
        <f>IF(A98&gt;$B$5+$B$6+$B$7,0,(O98-L98*Q97)/(M98-L98*P97))</f>
        <v/>
      </c>
      <c r="R98" s="30">
        <f>IF(A98&gt;$B$5+$B$6+$B$7,0,Q98-P98*R99)</f>
        <v/>
      </c>
      <c r="S98" s="29">
        <f>IF(A98&gt;$B$5+$B$6+$B$7,0,IF(A98&lt;=$B$6,$H$8*$B$9^$I$8,IF(A98&lt;=$B$6+$B$7,$H$8*$B$10^$I$8,$H$8*$B$11^$I$8)))</f>
        <v/>
      </c>
      <c r="T98" s="29">
        <f>IF(A98&gt;$B$5+$B$6+$B$7,0,IF(A98=1,0,$B$14))</f>
        <v/>
      </c>
      <c r="U98" s="29">
        <f>IF(A98&gt;$B$5+$B$6+$B$7,0,IF(A98&gt;$B$6+$B$7,-$B$14-$B$13/S98,IF(A98&gt;$B$6,-$B$14-$B$13*$B$15/S98,-$B$14-($B$13*$B$15+$B$12)/S98)))</f>
        <v/>
      </c>
      <c r="V98" s="29">
        <f>IF(A98&gt;$B$5+$B$6+$B$7,0,IF(A98+1&gt;$B$5+$B$6+$B$7,0,IF(A98&gt;$B$6+$B$7,$B$13/S99,IF(A98&gt;=$B$6,$B$13*$B$15/S99,($B$13*$B$15+$B$12)/S99))))</f>
        <v/>
      </c>
      <c r="W98" s="29">
        <f>IF(A98&gt;$B$5+$B$6+$B$7,0,IF(A98=$B$6,-$M$8*$B$12,0))</f>
        <v/>
      </c>
      <c r="X98" s="29">
        <f>IF(A98&gt;$B$5+$B$6+$B$7,0,V98/(U98-T98*X97))</f>
        <v/>
      </c>
      <c r="Y98" s="29">
        <f>IF(A98&gt;$B$5+$B$6+$B$7,0,(W98-T98*Y97)/(U98-T98*X97))</f>
        <v/>
      </c>
      <c r="Z98" s="30">
        <f>IF(A98&gt;$B$5+$B$6+$B$7,0,Y98-X98*Z99)</f>
        <v/>
      </c>
      <c r="AA98" s="29">
        <f>IF(A98&gt;$B$5+$B$6+$B$7,0,IF(A98&lt;=$B$6,$H$9*$B$9^$I$9,IF(A98&lt;=$B$6+$B$7,$H$9*$B$10^$I$9,$H$9*$B$11^$I$9)))</f>
        <v/>
      </c>
      <c r="AB98" s="29">
        <f>IF(A98&gt;$B$5+$B$6+$B$7,0,IF(A98=1,0,$B$14))</f>
        <v/>
      </c>
      <c r="AC98" s="29">
        <f>IF(A98&gt;$B$5+$B$6+$B$7,0,IF(A98&gt;$B$6+$B$7,-$B$14-$B$13/AA98,IF(A98&gt;$B$6,-$B$14-$B$13*$B$15/AA98,-$B$14-($B$13*$B$15+$B$12)/AA98)))</f>
        <v/>
      </c>
      <c r="AD98" s="29">
        <f>IF(A98&gt;$B$5+$B$6+$B$7,0,IF(A98+1&gt;$B$5+$B$6+$B$7,0,IF(A98&gt;$B$6+$B$7,$B$13/AA99,IF(A98&gt;=$B$6,$B$13*$B$15/AA99,($B$13*$B$15+$B$12)/AA99))))</f>
        <v/>
      </c>
      <c r="AE98" s="29">
        <f>IF(A98&gt;$B$5+$B$6+$B$7,0,IF(A98=$B$6,-$M$9*$B$12,0))</f>
        <v/>
      </c>
      <c r="AF98" s="29">
        <f>IF(A98&gt;$B$5+$B$6+$B$7,0,AD98/(AC98-AB98*AF97))</f>
        <v/>
      </c>
      <c r="AG98" s="29">
        <f>IF(A98&gt;$B$5+$B$6+$B$7,0,(AE98-AB98*AG97)/(AC98-AB98*AF97))</f>
        <v/>
      </c>
      <c r="AH98" s="30">
        <f>IF(A98&gt;$B$5+$B$6+$B$7,0,AG98-AF98*AH99)</f>
        <v/>
      </c>
      <c r="AI98" s="31">
        <f>IF(A98&gt;$B$5+$B$6+$B$7,0,IF(C98&lt;&gt;0,J98/C98,0))</f>
        <v/>
      </c>
      <c r="AJ98" s="31">
        <f>IF(A98&gt;$B$5+$B$6+$B$7,0,IF(K98&lt;&gt;0,R98/K98,0))</f>
        <v/>
      </c>
      <c r="AK98" s="31">
        <f>IF(A98&gt;$B$5+$B$6+$B$7,0,IF(S98&lt;&gt;0,Z98/S98,0))</f>
        <v/>
      </c>
      <c r="AL98" s="31">
        <f>IF(A98&gt;$B$5+$B$6+$B$7,0,IF(AA98&lt;&gt;0,AH98/AA98,0))</f>
        <v/>
      </c>
      <c r="AM98" s="30">
        <f>J98+R98+Z98+AH98</f>
        <v/>
      </c>
      <c r="AN98" s="30">
        <f>AI98+AJ98+AK98+AL98</f>
        <v/>
      </c>
    </row>
    <row r="99">
      <c r="A99" s="27" t="n">
        <v>80</v>
      </c>
      <c r="B99" s="28">
        <f>IF(A99&gt;$B$5+$B$6+$B$7,"—",IF(A99&lt;=$B$6,"Extraction",IF(A99&lt;=$B$6+$B$7,"Scrub","Strip")))</f>
        <v/>
      </c>
      <c r="C99" s="29">
        <f>IF(A99&gt;$B$5+$B$6+$B$7,0,IF(A99&lt;=$B$6,$H$6*$B$9^$I$6,IF(A99&lt;=$B$6+$B$7,$H$6*$B$10^$I$6,$H$6*$B$11^$I$6)))</f>
        <v/>
      </c>
      <c r="D99" s="29">
        <f>IF(A99&gt;$B$5+$B$6+$B$7,0,IF(A99=1,0,$B$14))</f>
        <v/>
      </c>
      <c r="E99" s="29">
        <f>IF(A99&gt;$B$5+$B$6+$B$7,0,IF(A99&gt;$B$6+$B$7,-$B$14-$B$13/C99,IF(A99&gt;$B$6,-$B$14-$B$13*$B$15/C99,-$B$14-($B$13*$B$15+$B$12)/C99)))</f>
        <v/>
      </c>
      <c r="F99" s="29">
        <f>IF(A99&gt;$B$5+$B$6+$B$7,0,IF(A99+1&gt;$B$5+$B$6+$B$7,0,IF(A99&gt;$B$6+$B$7,$B$13/C100,IF(A99&gt;=$B$6,$B$13*$B$15/C100,($B$13*$B$15+$B$12)/C100))))</f>
        <v/>
      </c>
      <c r="G99" s="29">
        <f>IF(A99&gt;$B$5+$B$6+$B$7,0,IF(A99=$B$6,-$M$6*$B$12,0))</f>
        <v/>
      </c>
      <c r="H99" s="29">
        <f>IF(A99&gt;$B$5+$B$6+$B$7,0,F99/(E99-D99*H98))</f>
        <v/>
      </c>
      <c r="I99" s="29">
        <f>IF(A99&gt;$B$5+$B$6+$B$7,0,(G99-D99*I98)/(E99-D99*H98))</f>
        <v/>
      </c>
      <c r="J99" s="30">
        <f>IF(A99&gt;$B$5+$B$6+$B$7,0,I99-H99*J100)</f>
        <v/>
      </c>
      <c r="K99" s="29">
        <f>IF(A99&gt;$B$5+$B$6+$B$7,0,IF(A99&lt;=$B$6,$H$7*$B$9^$I$7,IF(A99&lt;=$B$6+$B$7,$H$7*$B$10^$I$7,$H$7*$B$11^$I$7)))</f>
        <v/>
      </c>
      <c r="L99" s="29">
        <f>IF(A99&gt;$B$5+$B$6+$B$7,0,IF(A99=1,0,$B$14))</f>
        <v/>
      </c>
      <c r="M99" s="29">
        <f>IF(A99&gt;$B$5+$B$6+$B$7,0,IF(A99&gt;$B$6+$B$7,-$B$14-$B$13/K99,IF(A99&gt;$B$6,-$B$14-$B$13*$B$15/K99,-$B$14-($B$13*$B$15+$B$12)/K99)))</f>
        <v/>
      </c>
      <c r="N99" s="29">
        <f>IF(A99&gt;$B$5+$B$6+$B$7,0,IF(A99+1&gt;$B$5+$B$6+$B$7,0,IF(A99&gt;$B$6+$B$7,$B$13/K100,IF(A99&gt;=$B$6,$B$13*$B$15/K100,($B$13*$B$15+$B$12)/K100))))</f>
        <v/>
      </c>
      <c r="O99" s="29">
        <f>IF(A99&gt;$B$5+$B$6+$B$7,0,IF(A99=$B$6,-$M$7*$B$12,0))</f>
        <v/>
      </c>
      <c r="P99" s="29">
        <f>IF(A99&gt;$B$5+$B$6+$B$7,0,N99/(M99-L99*P98))</f>
        <v/>
      </c>
      <c r="Q99" s="29">
        <f>IF(A99&gt;$B$5+$B$6+$B$7,0,(O99-L99*Q98)/(M99-L99*P98))</f>
        <v/>
      </c>
      <c r="R99" s="30">
        <f>IF(A99&gt;$B$5+$B$6+$B$7,0,Q99-P99*R100)</f>
        <v/>
      </c>
      <c r="S99" s="29">
        <f>IF(A99&gt;$B$5+$B$6+$B$7,0,IF(A99&lt;=$B$6,$H$8*$B$9^$I$8,IF(A99&lt;=$B$6+$B$7,$H$8*$B$10^$I$8,$H$8*$B$11^$I$8)))</f>
        <v/>
      </c>
      <c r="T99" s="29">
        <f>IF(A99&gt;$B$5+$B$6+$B$7,0,IF(A99=1,0,$B$14))</f>
        <v/>
      </c>
      <c r="U99" s="29">
        <f>IF(A99&gt;$B$5+$B$6+$B$7,0,IF(A99&gt;$B$6+$B$7,-$B$14-$B$13/S99,IF(A99&gt;$B$6,-$B$14-$B$13*$B$15/S99,-$B$14-($B$13*$B$15+$B$12)/S99)))</f>
        <v/>
      </c>
      <c r="V99" s="29">
        <f>IF(A99&gt;$B$5+$B$6+$B$7,0,IF(A99+1&gt;$B$5+$B$6+$B$7,0,IF(A99&gt;$B$6+$B$7,$B$13/S100,IF(A99&gt;=$B$6,$B$13*$B$15/S100,($B$13*$B$15+$B$12)/S100))))</f>
        <v/>
      </c>
      <c r="W99" s="29">
        <f>IF(A99&gt;$B$5+$B$6+$B$7,0,IF(A99=$B$6,-$M$8*$B$12,0))</f>
        <v/>
      </c>
      <c r="X99" s="29">
        <f>IF(A99&gt;$B$5+$B$6+$B$7,0,V99/(U99-T99*X98))</f>
        <v/>
      </c>
      <c r="Y99" s="29">
        <f>IF(A99&gt;$B$5+$B$6+$B$7,0,(W99-T99*Y98)/(U99-T99*X98))</f>
        <v/>
      </c>
      <c r="Z99" s="30">
        <f>IF(A99&gt;$B$5+$B$6+$B$7,0,Y99-X99*Z100)</f>
        <v/>
      </c>
      <c r="AA99" s="29">
        <f>IF(A99&gt;$B$5+$B$6+$B$7,0,IF(A99&lt;=$B$6,$H$9*$B$9^$I$9,IF(A99&lt;=$B$6+$B$7,$H$9*$B$10^$I$9,$H$9*$B$11^$I$9)))</f>
        <v/>
      </c>
      <c r="AB99" s="29">
        <f>IF(A99&gt;$B$5+$B$6+$B$7,0,IF(A99=1,0,$B$14))</f>
        <v/>
      </c>
      <c r="AC99" s="29">
        <f>IF(A99&gt;$B$5+$B$6+$B$7,0,IF(A99&gt;$B$6+$B$7,-$B$14-$B$13/AA99,IF(A99&gt;$B$6,-$B$14-$B$13*$B$15/AA99,-$B$14-($B$13*$B$15+$B$12)/AA99)))</f>
        <v/>
      </c>
      <c r="AD99" s="29">
        <f>IF(A99&gt;$B$5+$B$6+$B$7,0,IF(A99+1&gt;$B$5+$B$6+$B$7,0,IF(A99&gt;$B$6+$B$7,$B$13/AA100,IF(A99&gt;=$B$6,$B$13*$B$15/AA100,($B$13*$B$15+$B$12)/AA100))))</f>
        <v/>
      </c>
      <c r="AE99" s="29">
        <f>IF(A99&gt;$B$5+$B$6+$B$7,0,IF(A99=$B$6,-$M$9*$B$12,0))</f>
        <v/>
      </c>
      <c r="AF99" s="29">
        <f>IF(A99&gt;$B$5+$B$6+$B$7,0,AD99/(AC99-AB99*AF98))</f>
        <v/>
      </c>
      <c r="AG99" s="29">
        <f>IF(A99&gt;$B$5+$B$6+$B$7,0,(AE99-AB99*AG98)/(AC99-AB99*AF98))</f>
        <v/>
      </c>
      <c r="AH99" s="30">
        <f>IF(A99&gt;$B$5+$B$6+$B$7,0,AG99-AF99*AH100)</f>
        <v/>
      </c>
      <c r="AI99" s="31">
        <f>IF(A99&gt;$B$5+$B$6+$B$7,0,IF(C99&lt;&gt;0,J99/C99,0))</f>
        <v/>
      </c>
      <c r="AJ99" s="31">
        <f>IF(A99&gt;$B$5+$B$6+$B$7,0,IF(K99&lt;&gt;0,R99/K99,0))</f>
        <v/>
      </c>
      <c r="AK99" s="31">
        <f>IF(A99&gt;$B$5+$B$6+$B$7,0,IF(S99&lt;&gt;0,Z99/S99,0))</f>
        <v/>
      </c>
      <c r="AL99" s="31">
        <f>IF(A99&gt;$B$5+$B$6+$B$7,0,IF(AA99&lt;&gt;0,AH99/AA99,0))</f>
        <v/>
      </c>
      <c r="AM99" s="30">
        <f>J99+R99+Z99+AH99</f>
        <v/>
      </c>
      <c r="AN99" s="30">
        <f>AI99+AJ99+AK99+AL99</f>
        <v/>
      </c>
    </row>
    <row r="100">
      <c r="A100" s="27" t="n">
        <v>81</v>
      </c>
      <c r="B100" s="28">
        <f>IF(A100&gt;$B$5+$B$6+$B$7,"—",IF(A100&lt;=$B$6,"Extraction",IF(A100&lt;=$B$6+$B$7,"Scrub","Strip")))</f>
        <v/>
      </c>
      <c r="C100" s="29">
        <f>IF(A100&gt;$B$5+$B$6+$B$7,0,IF(A100&lt;=$B$6,$H$6*$B$9^$I$6,IF(A100&lt;=$B$6+$B$7,$H$6*$B$10^$I$6,$H$6*$B$11^$I$6)))</f>
        <v/>
      </c>
      <c r="D100" s="29">
        <f>IF(A100&gt;$B$5+$B$6+$B$7,0,IF(A100=1,0,$B$14))</f>
        <v/>
      </c>
      <c r="E100" s="29">
        <f>IF(A100&gt;$B$5+$B$6+$B$7,0,IF(A100&gt;$B$6+$B$7,-$B$14-$B$13/C100,IF(A100&gt;$B$6,-$B$14-$B$13*$B$15/C100,-$B$14-($B$13*$B$15+$B$12)/C100)))</f>
        <v/>
      </c>
      <c r="F100" s="29">
        <f>IF(A100&gt;$B$5+$B$6+$B$7,0,IF(A100+1&gt;$B$5+$B$6+$B$7,0,IF(A100&gt;$B$6+$B$7,$B$13/C101,IF(A100&gt;=$B$6,$B$13*$B$15/C101,($B$13*$B$15+$B$12)/C101))))</f>
        <v/>
      </c>
      <c r="G100" s="29">
        <f>IF(A100&gt;$B$5+$B$6+$B$7,0,IF(A100=$B$6,-$M$6*$B$12,0))</f>
        <v/>
      </c>
      <c r="H100" s="29">
        <f>IF(A100&gt;$B$5+$B$6+$B$7,0,F100/(E100-D100*H99))</f>
        <v/>
      </c>
      <c r="I100" s="29">
        <f>IF(A100&gt;$B$5+$B$6+$B$7,0,(G100-D100*I99)/(E100-D100*H99))</f>
        <v/>
      </c>
      <c r="J100" s="30">
        <f>IF(A100&gt;$B$5+$B$6+$B$7,0,I100-H100*J101)</f>
        <v/>
      </c>
      <c r="K100" s="29">
        <f>IF(A100&gt;$B$5+$B$6+$B$7,0,IF(A100&lt;=$B$6,$H$7*$B$9^$I$7,IF(A100&lt;=$B$6+$B$7,$H$7*$B$10^$I$7,$H$7*$B$11^$I$7)))</f>
        <v/>
      </c>
      <c r="L100" s="29">
        <f>IF(A100&gt;$B$5+$B$6+$B$7,0,IF(A100=1,0,$B$14))</f>
        <v/>
      </c>
      <c r="M100" s="29">
        <f>IF(A100&gt;$B$5+$B$6+$B$7,0,IF(A100&gt;$B$6+$B$7,-$B$14-$B$13/K100,IF(A100&gt;$B$6,-$B$14-$B$13*$B$15/K100,-$B$14-($B$13*$B$15+$B$12)/K100)))</f>
        <v/>
      </c>
      <c r="N100" s="29">
        <f>IF(A100&gt;$B$5+$B$6+$B$7,0,IF(A100+1&gt;$B$5+$B$6+$B$7,0,IF(A100&gt;$B$6+$B$7,$B$13/K101,IF(A100&gt;=$B$6,$B$13*$B$15/K101,($B$13*$B$15+$B$12)/K101))))</f>
        <v/>
      </c>
      <c r="O100" s="29">
        <f>IF(A100&gt;$B$5+$B$6+$B$7,0,IF(A100=$B$6,-$M$7*$B$12,0))</f>
        <v/>
      </c>
      <c r="P100" s="29">
        <f>IF(A100&gt;$B$5+$B$6+$B$7,0,N100/(M100-L100*P99))</f>
        <v/>
      </c>
      <c r="Q100" s="29">
        <f>IF(A100&gt;$B$5+$B$6+$B$7,0,(O100-L100*Q99)/(M100-L100*P99))</f>
        <v/>
      </c>
      <c r="R100" s="30">
        <f>IF(A100&gt;$B$5+$B$6+$B$7,0,Q100-P100*R101)</f>
        <v/>
      </c>
      <c r="S100" s="29">
        <f>IF(A100&gt;$B$5+$B$6+$B$7,0,IF(A100&lt;=$B$6,$H$8*$B$9^$I$8,IF(A100&lt;=$B$6+$B$7,$H$8*$B$10^$I$8,$H$8*$B$11^$I$8)))</f>
        <v/>
      </c>
      <c r="T100" s="29">
        <f>IF(A100&gt;$B$5+$B$6+$B$7,0,IF(A100=1,0,$B$14))</f>
        <v/>
      </c>
      <c r="U100" s="29">
        <f>IF(A100&gt;$B$5+$B$6+$B$7,0,IF(A100&gt;$B$6+$B$7,-$B$14-$B$13/S100,IF(A100&gt;$B$6,-$B$14-$B$13*$B$15/S100,-$B$14-($B$13*$B$15+$B$12)/S100)))</f>
        <v/>
      </c>
      <c r="V100" s="29">
        <f>IF(A100&gt;$B$5+$B$6+$B$7,0,IF(A100+1&gt;$B$5+$B$6+$B$7,0,IF(A100&gt;$B$6+$B$7,$B$13/S101,IF(A100&gt;=$B$6,$B$13*$B$15/S101,($B$13*$B$15+$B$12)/S101))))</f>
        <v/>
      </c>
      <c r="W100" s="29">
        <f>IF(A100&gt;$B$5+$B$6+$B$7,0,IF(A100=$B$6,-$M$8*$B$12,0))</f>
        <v/>
      </c>
      <c r="X100" s="29">
        <f>IF(A100&gt;$B$5+$B$6+$B$7,0,V100/(U100-T100*X99))</f>
        <v/>
      </c>
      <c r="Y100" s="29">
        <f>IF(A100&gt;$B$5+$B$6+$B$7,0,(W100-T100*Y99)/(U100-T100*X99))</f>
        <v/>
      </c>
      <c r="Z100" s="30">
        <f>IF(A100&gt;$B$5+$B$6+$B$7,0,Y100-X100*Z101)</f>
        <v/>
      </c>
      <c r="AA100" s="29">
        <f>IF(A100&gt;$B$5+$B$6+$B$7,0,IF(A100&lt;=$B$6,$H$9*$B$9^$I$9,IF(A100&lt;=$B$6+$B$7,$H$9*$B$10^$I$9,$H$9*$B$11^$I$9)))</f>
        <v/>
      </c>
      <c r="AB100" s="29">
        <f>IF(A100&gt;$B$5+$B$6+$B$7,0,IF(A100=1,0,$B$14))</f>
        <v/>
      </c>
      <c r="AC100" s="29">
        <f>IF(A100&gt;$B$5+$B$6+$B$7,0,IF(A100&gt;$B$6+$B$7,-$B$14-$B$13/AA100,IF(A100&gt;$B$6,-$B$14-$B$13*$B$15/AA100,-$B$14-($B$13*$B$15+$B$12)/AA100)))</f>
        <v/>
      </c>
      <c r="AD100" s="29">
        <f>IF(A100&gt;$B$5+$B$6+$B$7,0,IF(A100+1&gt;$B$5+$B$6+$B$7,0,IF(A100&gt;$B$6+$B$7,$B$13/AA101,IF(A100&gt;=$B$6,$B$13*$B$15/AA101,($B$13*$B$15+$B$12)/AA101))))</f>
        <v/>
      </c>
      <c r="AE100" s="29">
        <f>IF(A100&gt;$B$5+$B$6+$B$7,0,IF(A100=$B$6,-$M$9*$B$12,0))</f>
        <v/>
      </c>
      <c r="AF100" s="29">
        <f>IF(A100&gt;$B$5+$B$6+$B$7,0,AD100/(AC100-AB100*AF99))</f>
        <v/>
      </c>
      <c r="AG100" s="29">
        <f>IF(A100&gt;$B$5+$B$6+$B$7,0,(AE100-AB100*AG99)/(AC100-AB100*AF99))</f>
        <v/>
      </c>
      <c r="AH100" s="30">
        <f>IF(A100&gt;$B$5+$B$6+$B$7,0,AG100-AF100*AH101)</f>
        <v/>
      </c>
      <c r="AI100" s="31">
        <f>IF(A100&gt;$B$5+$B$6+$B$7,0,IF(C100&lt;&gt;0,J100/C100,0))</f>
        <v/>
      </c>
      <c r="AJ100" s="31">
        <f>IF(A100&gt;$B$5+$B$6+$B$7,0,IF(K100&lt;&gt;0,R100/K100,0))</f>
        <v/>
      </c>
      <c r="AK100" s="31">
        <f>IF(A100&gt;$B$5+$B$6+$B$7,0,IF(S100&lt;&gt;0,Z100/S100,0))</f>
        <v/>
      </c>
      <c r="AL100" s="31">
        <f>IF(A100&gt;$B$5+$B$6+$B$7,0,IF(AA100&lt;&gt;0,AH100/AA100,0))</f>
        <v/>
      </c>
      <c r="AM100" s="30">
        <f>J100+R100+Z100+AH100</f>
        <v/>
      </c>
      <c r="AN100" s="30">
        <f>AI100+AJ100+AK100+AL100</f>
        <v/>
      </c>
    </row>
    <row r="101">
      <c r="A101" s="27" t="n">
        <v>82</v>
      </c>
      <c r="B101" s="28">
        <f>IF(A101&gt;$B$5+$B$6+$B$7,"—",IF(A101&lt;=$B$6,"Extraction",IF(A101&lt;=$B$6+$B$7,"Scrub","Strip")))</f>
        <v/>
      </c>
      <c r="C101" s="29">
        <f>IF(A101&gt;$B$5+$B$6+$B$7,0,IF(A101&lt;=$B$6,$H$6*$B$9^$I$6,IF(A101&lt;=$B$6+$B$7,$H$6*$B$10^$I$6,$H$6*$B$11^$I$6)))</f>
        <v/>
      </c>
      <c r="D101" s="29">
        <f>IF(A101&gt;$B$5+$B$6+$B$7,0,IF(A101=1,0,$B$14))</f>
        <v/>
      </c>
      <c r="E101" s="29">
        <f>IF(A101&gt;$B$5+$B$6+$B$7,0,IF(A101&gt;$B$6+$B$7,-$B$14-$B$13/C101,IF(A101&gt;$B$6,-$B$14-$B$13*$B$15/C101,-$B$14-($B$13*$B$15+$B$12)/C101)))</f>
        <v/>
      </c>
      <c r="F101" s="29">
        <f>IF(A101&gt;$B$5+$B$6+$B$7,0,IF(A101+1&gt;$B$5+$B$6+$B$7,0,IF(A101&gt;$B$6+$B$7,$B$13/C102,IF(A101&gt;=$B$6,$B$13*$B$15/C102,($B$13*$B$15+$B$12)/C102))))</f>
        <v/>
      </c>
      <c r="G101" s="29">
        <f>IF(A101&gt;$B$5+$B$6+$B$7,0,IF(A101=$B$6,-$M$6*$B$12,0))</f>
        <v/>
      </c>
      <c r="H101" s="29">
        <f>IF(A101&gt;$B$5+$B$6+$B$7,0,F101/(E101-D101*H100))</f>
        <v/>
      </c>
      <c r="I101" s="29">
        <f>IF(A101&gt;$B$5+$B$6+$B$7,0,(G101-D101*I100)/(E101-D101*H100))</f>
        <v/>
      </c>
      <c r="J101" s="30">
        <f>IF(A101&gt;$B$5+$B$6+$B$7,0,I101-H101*J102)</f>
        <v/>
      </c>
      <c r="K101" s="29">
        <f>IF(A101&gt;$B$5+$B$6+$B$7,0,IF(A101&lt;=$B$6,$H$7*$B$9^$I$7,IF(A101&lt;=$B$6+$B$7,$H$7*$B$10^$I$7,$H$7*$B$11^$I$7)))</f>
        <v/>
      </c>
      <c r="L101" s="29">
        <f>IF(A101&gt;$B$5+$B$6+$B$7,0,IF(A101=1,0,$B$14))</f>
        <v/>
      </c>
      <c r="M101" s="29">
        <f>IF(A101&gt;$B$5+$B$6+$B$7,0,IF(A101&gt;$B$6+$B$7,-$B$14-$B$13/K101,IF(A101&gt;$B$6,-$B$14-$B$13*$B$15/K101,-$B$14-($B$13*$B$15+$B$12)/K101)))</f>
        <v/>
      </c>
      <c r="N101" s="29">
        <f>IF(A101&gt;$B$5+$B$6+$B$7,0,IF(A101+1&gt;$B$5+$B$6+$B$7,0,IF(A101&gt;$B$6+$B$7,$B$13/K102,IF(A101&gt;=$B$6,$B$13*$B$15/K102,($B$13*$B$15+$B$12)/K102))))</f>
        <v/>
      </c>
      <c r="O101" s="29">
        <f>IF(A101&gt;$B$5+$B$6+$B$7,0,IF(A101=$B$6,-$M$7*$B$12,0))</f>
        <v/>
      </c>
      <c r="P101" s="29">
        <f>IF(A101&gt;$B$5+$B$6+$B$7,0,N101/(M101-L101*P100))</f>
        <v/>
      </c>
      <c r="Q101" s="29">
        <f>IF(A101&gt;$B$5+$B$6+$B$7,0,(O101-L101*Q100)/(M101-L101*P100))</f>
        <v/>
      </c>
      <c r="R101" s="30">
        <f>IF(A101&gt;$B$5+$B$6+$B$7,0,Q101-P101*R102)</f>
        <v/>
      </c>
      <c r="S101" s="29">
        <f>IF(A101&gt;$B$5+$B$6+$B$7,0,IF(A101&lt;=$B$6,$H$8*$B$9^$I$8,IF(A101&lt;=$B$6+$B$7,$H$8*$B$10^$I$8,$H$8*$B$11^$I$8)))</f>
        <v/>
      </c>
      <c r="T101" s="29">
        <f>IF(A101&gt;$B$5+$B$6+$B$7,0,IF(A101=1,0,$B$14))</f>
        <v/>
      </c>
      <c r="U101" s="29">
        <f>IF(A101&gt;$B$5+$B$6+$B$7,0,IF(A101&gt;$B$6+$B$7,-$B$14-$B$13/S101,IF(A101&gt;$B$6,-$B$14-$B$13*$B$15/S101,-$B$14-($B$13*$B$15+$B$12)/S101)))</f>
        <v/>
      </c>
      <c r="V101" s="29">
        <f>IF(A101&gt;$B$5+$B$6+$B$7,0,IF(A101+1&gt;$B$5+$B$6+$B$7,0,IF(A101&gt;$B$6+$B$7,$B$13/S102,IF(A101&gt;=$B$6,$B$13*$B$15/S102,($B$13*$B$15+$B$12)/S102))))</f>
        <v/>
      </c>
      <c r="W101" s="29">
        <f>IF(A101&gt;$B$5+$B$6+$B$7,0,IF(A101=$B$6,-$M$8*$B$12,0))</f>
        <v/>
      </c>
      <c r="X101" s="29">
        <f>IF(A101&gt;$B$5+$B$6+$B$7,0,V101/(U101-T101*X100))</f>
        <v/>
      </c>
      <c r="Y101" s="29">
        <f>IF(A101&gt;$B$5+$B$6+$B$7,0,(W101-T101*Y100)/(U101-T101*X100))</f>
        <v/>
      </c>
      <c r="Z101" s="30">
        <f>IF(A101&gt;$B$5+$B$6+$B$7,0,Y101-X101*Z102)</f>
        <v/>
      </c>
      <c r="AA101" s="29">
        <f>IF(A101&gt;$B$5+$B$6+$B$7,0,IF(A101&lt;=$B$6,$H$9*$B$9^$I$9,IF(A101&lt;=$B$6+$B$7,$H$9*$B$10^$I$9,$H$9*$B$11^$I$9)))</f>
        <v/>
      </c>
      <c r="AB101" s="29">
        <f>IF(A101&gt;$B$5+$B$6+$B$7,0,IF(A101=1,0,$B$14))</f>
        <v/>
      </c>
      <c r="AC101" s="29">
        <f>IF(A101&gt;$B$5+$B$6+$B$7,0,IF(A101&gt;$B$6+$B$7,-$B$14-$B$13/AA101,IF(A101&gt;$B$6,-$B$14-$B$13*$B$15/AA101,-$B$14-($B$13*$B$15+$B$12)/AA101)))</f>
        <v/>
      </c>
      <c r="AD101" s="29">
        <f>IF(A101&gt;$B$5+$B$6+$B$7,0,IF(A101+1&gt;$B$5+$B$6+$B$7,0,IF(A101&gt;$B$6+$B$7,$B$13/AA102,IF(A101&gt;=$B$6,$B$13*$B$15/AA102,($B$13*$B$15+$B$12)/AA102))))</f>
        <v/>
      </c>
      <c r="AE101" s="29">
        <f>IF(A101&gt;$B$5+$B$6+$B$7,0,IF(A101=$B$6,-$M$9*$B$12,0))</f>
        <v/>
      </c>
      <c r="AF101" s="29">
        <f>IF(A101&gt;$B$5+$B$6+$B$7,0,AD101/(AC101-AB101*AF100))</f>
        <v/>
      </c>
      <c r="AG101" s="29">
        <f>IF(A101&gt;$B$5+$B$6+$B$7,0,(AE101-AB101*AG100)/(AC101-AB101*AF100))</f>
        <v/>
      </c>
      <c r="AH101" s="30">
        <f>IF(A101&gt;$B$5+$B$6+$B$7,0,AG101-AF101*AH102)</f>
        <v/>
      </c>
      <c r="AI101" s="31">
        <f>IF(A101&gt;$B$5+$B$6+$B$7,0,IF(C101&lt;&gt;0,J101/C101,0))</f>
        <v/>
      </c>
      <c r="AJ101" s="31">
        <f>IF(A101&gt;$B$5+$B$6+$B$7,0,IF(K101&lt;&gt;0,R101/K101,0))</f>
        <v/>
      </c>
      <c r="AK101" s="31">
        <f>IF(A101&gt;$B$5+$B$6+$B$7,0,IF(S101&lt;&gt;0,Z101/S101,0))</f>
        <v/>
      </c>
      <c r="AL101" s="31">
        <f>IF(A101&gt;$B$5+$B$6+$B$7,0,IF(AA101&lt;&gt;0,AH101/AA101,0))</f>
        <v/>
      </c>
      <c r="AM101" s="30">
        <f>J101+R101+Z101+AH101</f>
        <v/>
      </c>
      <c r="AN101" s="30">
        <f>AI101+AJ101+AK101+AL101</f>
        <v/>
      </c>
    </row>
    <row r="102">
      <c r="A102" s="27" t="n">
        <v>83</v>
      </c>
      <c r="B102" s="28">
        <f>IF(A102&gt;$B$5+$B$6+$B$7,"—",IF(A102&lt;=$B$6,"Extraction",IF(A102&lt;=$B$6+$B$7,"Scrub","Strip")))</f>
        <v/>
      </c>
      <c r="C102" s="29">
        <f>IF(A102&gt;$B$5+$B$6+$B$7,0,IF(A102&lt;=$B$6,$H$6*$B$9^$I$6,IF(A102&lt;=$B$6+$B$7,$H$6*$B$10^$I$6,$H$6*$B$11^$I$6)))</f>
        <v/>
      </c>
      <c r="D102" s="29">
        <f>IF(A102&gt;$B$5+$B$6+$B$7,0,IF(A102=1,0,$B$14))</f>
        <v/>
      </c>
      <c r="E102" s="29">
        <f>IF(A102&gt;$B$5+$B$6+$B$7,0,IF(A102&gt;$B$6+$B$7,-$B$14-$B$13/C102,IF(A102&gt;$B$6,-$B$14-$B$13*$B$15/C102,-$B$14-($B$13*$B$15+$B$12)/C102)))</f>
        <v/>
      </c>
      <c r="F102" s="29">
        <f>IF(A102&gt;$B$5+$B$6+$B$7,0,IF(A102+1&gt;$B$5+$B$6+$B$7,0,IF(A102&gt;$B$6+$B$7,$B$13/C103,IF(A102&gt;=$B$6,$B$13*$B$15/C103,($B$13*$B$15+$B$12)/C103))))</f>
        <v/>
      </c>
      <c r="G102" s="29">
        <f>IF(A102&gt;$B$5+$B$6+$B$7,0,IF(A102=$B$6,-$M$6*$B$12,0))</f>
        <v/>
      </c>
      <c r="H102" s="29">
        <f>IF(A102&gt;$B$5+$B$6+$B$7,0,F102/(E102-D102*H101))</f>
        <v/>
      </c>
      <c r="I102" s="29">
        <f>IF(A102&gt;$B$5+$B$6+$B$7,0,(G102-D102*I101)/(E102-D102*H101))</f>
        <v/>
      </c>
      <c r="J102" s="30">
        <f>IF(A102&gt;$B$5+$B$6+$B$7,0,I102-H102*J103)</f>
        <v/>
      </c>
      <c r="K102" s="29">
        <f>IF(A102&gt;$B$5+$B$6+$B$7,0,IF(A102&lt;=$B$6,$H$7*$B$9^$I$7,IF(A102&lt;=$B$6+$B$7,$H$7*$B$10^$I$7,$H$7*$B$11^$I$7)))</f>
        <v/>
      </c>
      <c r="L102" s="29">
        <f>IF(A102&gt;$B$5+$B$6+$B$7,0,IF(A102=1,0,$B$14))</f>
        <v/>
      </c>
      <c r="M102" s="29">
        <f>IF(A102&gt;$B$5+$B$6+$B$7,0,IF(A102&gt;$B$6+$B$7,-$B$14-$B$13/K102,IF(A102&gt;$B$6,-$B$14-$B$13*$B$15/K102,-$B$14-($B$13*$B$15+$B$12)/K102)))</f>
        <v/>
      </c>
      <c r="N102" s="29">
        <f>IF(A102&gt;$B$5+$B$6+$B$7,0,IF(A102+1&gt;$B$5+$B$6+$B$7,0,IF(A102&gt;$B$6+$B$7,$B$13/K103,IF(A102&gt;=$B$6,$B$13*$B$15/K103,($B$13*$B$15+$B$12)/K103))))</f>
        <v/>
      </c>
      <c r="O102" s="29">
        <f>IF(A102&gt;$B$5+$B$6+$B$7,0,IF(A102=$B$6,-$M$7*$B$12,0))</f>
        <v/>
      </c>
      <c r="P102" s="29">
        <f>IF(A102&gt;$B$5+$B$6+$B$7,0,N102/(M102-L102*P101))</f>
        <v/>
      </c>
      <c r="Q102" s="29">
        <f>IF(A102&gt;$B$5+$B$6+$B$7,0,(O102-L102*Q101)/(M102-L102*P101))</f>
        <v/>
      </c>
      <c r="R102" s="30">
        <f>IF(A102&gt;$B$5+$B$6+$B$7,0,Q102-P102*R103)</f>
        <v/>
      </c>
      <c r="S102" s="29">
        <f>IF(A102&gt;$B$5+$B$6+$B$7,0,IF(A102&lt;=$B$6,$H$8*$B$9^$I$8,IF(A102&lt;=$B$6+$B$7,$H$8*$B$10^$I$8,$H$8*$B$11^$I$8)))</f>
        <v/>
      </c>
      <c r="T102" s="29">
        <f>IF(A102&gt;$B$5+$B$6+$B$7,0,IF(A102=1,0,$B$14))</f>
        <v/>
      </c>
      <c r="U102" s="29">
        <f>IF(A102&gt;$B$5+$B$6+$B$7,0,IF(A102&gt;$B$6+$B$7,-$B$14-$B$13/S102,IF(A102&gt;$B$6,-$B$14-$B$13*$B$15/S102,-$B$14-($B$13*$B$15+$B$12)/S102)))</f>
        <v/>
      </c>
      <c r="V102" s="29">
        <f>IF(A102&gt;$B$5+$B$6+$B$7,0,IF(A102+1&gt;$B$5+$B$6+$B$7,0,IF(A102&gt;$B$6+$B$7,$B$13/S103,IF(A102&gt;=$B$6,$B$13*$B$15/S103,($B$13*$B$15+$B$12)/S103))))</f>
        <v/>
      </c>
      <c r="W102" s="29">
        <f>IF(A102&gt;$B$5+$B$6+$B$7,0,IF(A102=$B$6,-$M$8*$B$12,0))</f>
        <v/>
      </c>
      <c r="X102" s="29">
        <f>IF(A102&gt;$B$5+$B$6+$B$7,0,V102/(U102-T102*X101))</f>
        <v/>
      </c>
      <c r="Y102" s="29">
        <f>IF(A102&gt;$B$5+$B$6+$B$7,0,(W102-T102*Y101)/(U102-T102*X101))</f>
        <v/>
      </c>
      <c r="Z102" s="30">
        <f>IF(A102&gt;$B$5+$B$6+$B$7,0,Y102-X102*Z103)</f>
        <v/>
      </c>
      <c r="AA102" s="29">
        <f>IF(A102&gt;$B$5+$B$6+$B$7,0,IF(A102&lt;=$B$6,$H$9*$B$9^$I$9,IF(A102&lt;=$B$6+$B$7,$H$9*$B$10^$I$9,$H$9*$B$11^$I$9)))</f>
        <v/>
      </c>
      <c r="AB102" s="29">
        <f>IF(A102&gt;$B$5+$B$6+$B$7,0,IF(A102=1,0,$B$14))</f>
        <v/>
      </c>
      <c r="AC102" s="29">
        <f>IF(A102&gt;$B$5+$B$6+$B$7,0,IF(A102&gt;$B$6+$B$7,-$B$14-$B$13/AA102,IF(A102&gt;$B$6,-$B$14-$B$13*$B$15/AA102,-$B$14-($B$13*$B$15+$B$12)/AA102)))</f>
        <v/>
      </c>
      <c r="AD102" s="29">
        <f>IF(A102&gt;$B$5+$B$6+$B$7,0,IF(A102+1&gt;$B$5+$B$6+$B$7,0,IF(A102&gt;$B$6+$B$7,$B$13/AA103,IF(A102&gt;=$B$6,$B$13*$B$15/AA103,($B$13*$B$15+$B$12)/AA103))))</f>
        <v/>
      </c>
      <c r="AE102" s="29">
        <f>IF(A102&gt;$B$5+$B$6+$B$7,0,IF(A102=$B$6,-$M$9*$B$12,0))</f>
        <v/>
      </c>
      <c r="AF102" s="29">
        <f>IF(A102&gt;$B$5+$B$6+$B$7,0,AD102/(AC102-AB102*AF101))</f>
        <v/>
      </c>
      <c r="AG102" s="29">
        <f>IF(A102&gt;$B$5+$B$6+$B$7,0,(AE102-AB102*AG101)/(AC102-AB102*AF101))</f>
        <v/>
      </c>
      <c r="AH102" s="30">
        <f>IF(A102&gt;$B$5+$B$6+$B$7,0,AG102-AF102*AH103)</f>
        <v/>
      </c>
      <c r="AI102" s="31">
        <f>IF(A102&gt;$B$5+$B$6+$B$7,0,IF(C102&lt;&gt;0,J102/C102,0))</f>
        <v/>
      </c>
      <c r="AJ102" s="31">
        <f>IF(A102&gt;$B$5+$B$6+$B$7,0,IF(K102&lt;&gt;0,R102/K102,0))</f>
        <v/>
      </c>
      <c r="AK102" s="31">
        <f>IF(A102&gt;$B$5+$B$6+$B$7,0,IF(S102&lt;&gt;0,Z102/S102,0))</f>
        <v/>
      </c>
      <c r="AL102" s="31">
        <f>IF(A102&gt;$B$5+$B$6+$B$7,0,IF(AA102&lt;&gt;0,AH102/AA102,0))</f>
        <v/>
      </c>
      <c r="AM102" s="30">
        <f>J102+R102+Z102+AH102</f>
        <v/>
      </c>
      <c r="AN102" s="30">
        <f>AI102+AJ102+AK102+AL102</f>
        <v/>
      </c>
    </row>
    <row r="103">
      <c r="A103" s="27" t="n">
        <v>84</v>
      </c>
      <c r="B103" s="28">
        <f>IF(A103&gt;$B$5+$B$6+$B$7,"—",IF(A103&lt;=$B$6,"Extraction",IF(A103&lt;=$B$6+$B$7,"Scrub","Strip")))</f>
        <v/>
      </c>
      <c r="C103" s="29">
        <f>IF(A103&gt;$B$5+$B$6+$B$7,0,IF(A103&lt;=$B$6,$H$6*$B$9^$I$6,IF(A103&lt;=$B$6+$B$7,$H$6*$B$10^$I$6,$H$6*$B$11^$I$6)))</f>
        <v/>
      </c>
      <c r="D103" s="29">
        <f>IF(A103&gt;$B$5+$B$6+$B$7,0,IF(A103=1,0,$B$14))</f>
        <v/>
      </c>
      <c r="E103" s="29">
        <f>IF(A103&gt;$B$5+$B$6+$B$7,0,IF(A103&gt;$B$6+$B$7,-$B$14-$B$13/C103,IF(A103&gt;$B$6,-$B$14-$B$13*$B$15/C103,-$B$14-($B$13*$B$15+$B$12)/C103)))</f>
        <v/>
      </c>
      <c r="F103" s="29">
        <f>IF(A103&gt;$B$5+$B$6+$B$7,0,IF(A103+1&gt;$B$5+$B$6+$B$7,0,IF(A103&gt;$B$6+$B$7,$B$13/C104,IF(A103&gt;=$B$6,$B$13*$B$15/C104,($B$13*$B$15+$B$12)/C104))))</f>
        <v/>
      </c>
      <c r="G103" s="29">
        <f>IF(A103&gt;$B$5+$B$6+$B$7,0,IF(A103=$B$6,-$M$6*$B$12,0))</f>
        <v/>
      </c>
      <c r="H103" s="29">
        <f>IF(A103&gt;$B$5+$B$6+$B$7,0,F103/(E103-D103*H102))</f>
        <v/>
      </c>
      <c r="I103" s="29">
        <f>IF(A103&gt;$B$5+$B$6+$B$7,0,(G103-D103*I102)/(E103-D103*H102))</f>
        <v/>
      </c>
      <c r="J103" s="30">
        <f>IF(A103&gt;$B$5+$B$6+$B$7,0,I103-H103*J104)</f>
        <v/>
      </c>
      <c r="K103" s="29">
        <f>IF(A103&gt;$B$5+$B$6+$B$7,0,IF(A103&lt;=$B$6,$H$7*$B$9^$I$7,IF(A103&lt;=$B$6+$B$7,$H$7*$B$10^$I$7,$H$7*$B$11^$I$7)))</f>
        <v/>
      </c>
      <c r="L103" s="29">
        <f>IF(A103&gt;$B$5+$B$6+$B$7,0,IF(A103=1,0,$B$14))</f>
        <v/>
      </c>
      <c r="M103" s="29">
        <f>IF(A103&gt;$B$5+$B$6+$B$7,0,IF(A103&gt;$B$6+$B$7,-$B$14-$B$13/K103,IF(A103&gt;$B$6,-$B$14-$B$13*$B$15/K103,-$B$14-($B$13*$B$15+$B$12)/K103)))</f>
        <v/>
      </c>
      <c r="N103" s="29">
        <f>IF(A103&gt;$B$5+$B$6+$B$7,0,IF(A103+1&gt;$B$5+$B$6+$B$7,0,IF(A103&gt;$B$6+$B$7,$B$13/K104,IF(A103&gt;=$B$6,$B$13*$B$15/K104,($B$13*$B$15+$B$12)/K104))))</f>
        <v/>
      </c>
      <c r="O103" s="29">
        <f>IF(A103&gt;$B$5+$B$6+$B$7,0,IF(A103=$B$6,-$M$7*$B$12,0))</f>
        <v/>
      </c>
      <c r="P103" s="29">
        <f>IF(A103&gt;$B$5+$B$6+$B$7,0,N103/(M103-L103*P102))</f>
        <v/>
      </c>
      <c r="Q103" s="29">
        <f>IF(A103&gt;$B$5+$B$6+$B$7,0,(O103-L103*Q102)/(M103-L103*P102))</f>
        <v/>
      </c>
      <c r="R103" s="30">
        <f>IF(A103&gt;$B$5+$B$6+$B$7,0,Q103-P103*R104)</f>
        <v/>
      </c>
      <c r="S103" s="29">
        <f>IF(A103&gt;$B$5+$B$6+$B$7,0,IF(A103&lt;=$B$6,$H$8*$B$9^$I$8,IF(A103&lt;=$B$6+$B$7,$H$8*$B$10^$I$8,$H$8*$B$11^$I$8)))</f>
        <v/>
      </c>
      <c r="T103" s="29">
        <f>IF(A103&gt;$B$5+$B$6+$B$7,0,IF(A103=1,0,$B$14))</f>
        <v/>
      </c>
      <c r="U103" s="29">
        <f>IF(A103&gt;$B$5+$B$6+$B$7,0,IF(A103&gt;$B$6+$B$7,-$B$14-$B$13/S103,IF(A103&gt;$B$6,-$B$14-$B$13*$B$15/S103,-$B$14-($B$13*$B$15+$B$12)/S103)))</f>
        <v/>
      </c>
      <c r="V103" s="29">
        <f>IF(A103&gt;$B$5+$B$6+$B$7,0,IF(A103+1&gt;$B$5+$B$6+$B$7,0,IF(A103&gt;$B$6+$B$7,$B$13/S104,IF(A103&gt;=$B$6,$B$13*$B$15/S104,($B$13*$B$15+$B$12)/S104))))</f>
        <v/>
      </c>
      <c r="W103" s="29">
        <f>IF(A103&gt;$B$5+$B$6+$B$7,0,IF(A103=$B$6,-$M$8*$B$12,0))</f>
        <v/>
      </c>
      <c r="X103" s="29">
        <f>IF(A103&gt;$B$5+$B$6+$B$7,0,V103/(U103-T103*X102))</f>
        <v/>
      </c>
      <c r="Y103" s="29">
        <f>IF(A103&gt;$B$5+$B$6+$B$7,0,(W103-T103*Y102)/(U103-T103*X102))</f>
        <v/>
      </c>
      <c r="Z103" s="30">
        <f>IF(A103&gt;$B$5+$B$6+$B$7,0,Y103-X103*Z104)</f>
        <v/>
      </c>
      <c r="AA103" s="29">
        <f>IF(A103&gt;$B$5+$B$6+$B$7,0,IF(A103&lt;=$B$6,$H$9*$B$9^$I$9,IF(A103&lt;=$B$6+$B$7,$H$9*$B$10^$I$9,$H$9*$B$11^$I$9)))</f>
        <v/>
      </c>
      <c r="AB103" s="29">
        <f>IF(A103&gt;$B$5+$B$6+$B$7,0,IF(A103=1,0,$B$14))</f>
        <v/>
      </c>
      <c r="AC103" s="29">
        <f>IF(A103&gt;$B$5+$B$6+$B$7,0,IF(A103&gt;$B$6+$B$7,-$B$14-$B$13/AA103,IF(A103&gt;$B$6,-$B$14-$B$13*$B$15/AA103,-$B$14-($B$13*$B$15+$B$12)/AA103)))</f>
        <v/>
      </c>
      <c r="AD103" s="29">
        <f>IF(A103&gt;$B$5+$B$6+$B$7,0,IF(A103+1&gt;$B$5+$B$6+$B$7,0,IF(A103&gt;$B$6+$B$7,$B$13/AA104,IF(A103&gt;=$B$6,$B$13*$B$15/AA104,($B$13*$B$15+$B$12)/AA104))))</f>
        <v/>
      </c>
      <c r="AE103" s="29">
        <f>IF(A103&gt;$B$5+$B$6+$B$7,0,IF(A103=$B$6,-$M$9*$B$12,0))</f>
        <v/>
      </c>
      <c r="AF103" s="29">
        <f>IF(A103&gt;$B$5+$B$6+$B$7,0,AD103/(AC103-AB103*AF102))</f>
        <v/>
      </c>
      <c r="AG103" s="29">
        <f>IF(A103&gt;$B$5+$B$6+$B$7,0,(AE103-AB103*AG102)/(AC103-AB103*AF102))</f>
        <v/>
      </c>
      <c r="AH103" s="30">
        <f>IF(A103&gt;$B$5+$B$6+$B$7,0,AG103-AF103*AH104)</f>
        <v/>
      </c>
      <c r="AI103" s="31">
        <f>IF(A103&gt;$B$5+$B$6+$B$7,0,IF(C103&lt;&gt;0,J103/C103,0))</f>
        <v/>
      </c>
      <c r="AJ103" s="31">
        <f>IF(A103&gt;$B$5+$B$6+$B$7,0,IF(K103&lt;&gt;0,R103/K103,0))</f>
        <v/>
      </c>
      <c r="AK103" s="31">
        <f>IF(A103&gt;$B$5+$B$6+$B$7,0,IF(S103&lt;&gt;0,Z103/S103,0))</f>
        <v/>
      </c>
      <c r="AL103" s="31">
        <f>IF(A103&gt;$B$5+$B$6+$B$7,0,IF(AA103&lt;&gt;0,AH103/AA103,0))</f>
        <v/>
      </c>
      <c r="AM103" s="30">
        <f>J103+R103+Z103+AH103</f>
        <v/>
      </c>
      <c r="AN103" s="30">
        <f>AI103+AJ103+AK103+AL103</f>
        <v/>
      </c>
    </row>
    <row r="104">
      <c r="A104" s="27" t="n">
        <v>85</v>
      </c>
      <c r="B104" s="28">
        <f>IF(A104&gt;$B$5+$B$6+$B$7,"—",IF(A104&lt;=$B$6,"Extraction",IF(A104&lt;=$B$6+$B$7,"Scrub","Strip")))</f>
        <v/>
      </c>
      <c r="C104" s="29">
        <f>IF(A104&gt;$B$5+$B$6+$B$7,0,IF(A104&lt;=$B$6,$H$6*$B$9^$I$6,IF(A104&lt;=$B$6+$B$7,$H$6*$B$10^$I$6,$H$6*$B$11^$I$6)))</f>
        <v/>
      </c>
      <c r="D104" s="29">
        <f>IF(A104&gt;$B$5+$B$6+$B$7,0,IF(A104=1,0,$B$14))</f>
        <v/>
      </c>
      <c r="E104" s="29">
        <f>IF(A104&gt;$B$5+$B$6+$B$7,0,IF(A104&gt;$B$6+$B$7,-$B$14-$B$13/C104,IF(A104&gt;$B$6,-$B$14-$B$13*$B$15/C104,-$B$14-($B$13*$B$15+$B$12)/C104)))</f>
        <v/>
      </c>
      <c r="F104" s="29">
        <f>IF(A104&gt;$B$5+$B$6+$B$7,0,IF(A104+1&gt;$B$5+$B$6+$B$7,0,IF(A104&gt;$B$6+$B$7,$B$13/C105,IF(A104&gt;=$B$6,$B$13*$B$15/C105,($B$13*$B$15+$B$12)/C105))))</f>
        <v/>
      </c>
      <c r="G104" s="29">
        <f>IF(A104&gt;$B$5+$B$6+$B$7,0,IF(A104=$B$6,-$M$6*$B$12,0))</f>
        <v/>
      </c>
      <c r="H104" s="29">
        <f>IF(A104&gt;$B$5+$B$6+$B$7,0,F104/(E104-D104*H103))</f>
        <v/>
      </c>
      <c r="I104" s="29">
        <f>IF(A104&gt;$B$5+$B$6+$B$7,0,(G104-D104*I103)/(E104-D104*H103))</f>
        <v/>
      </c>
      <c r="J104" s="30">
        <f>IF(A104&gt;$B$5+$B$6+$B$7,0,I104-H104*J105)</f>
        <v/>
      </c>
      <c r="K104" s="29">
        <f>IF(A104&gt;$B$5+$B$6+$B$7,0,IF(A104&lt;=$B$6,$H$7*$B$9^$I$7,IF(A104&lt;=$B$6+$B$7,$H$7*$B$10^$I$7,$H$7*$B$11^$I$7)))</f>
        <v/>
      </c>
      <c r="L104" s="29">
        <f>IF(A104&gt;$B$5+$B$6+$B$7,0,IF(A104=1,0,$B$14))</f>
        <v/>
      </c>
      <c r="M104" s="29">
        <f>IF(A104&gt;$B$5+$B$6+$B$7,0,IF(A104&gt;$B$6+$B$7,-$B$14-$B$13/K104,IF(A104&gt;$B$6,-$B$14-$B$13*$B$15/K104,-$B$14-($B$13*$B$15+$B$12)/K104)))</f>
        <v/>
      </c>
      <c r="N104" s="29">
        <f>IF(A104&gt;$B$5+$B$6+$B$7,0,IF(A104+1&gt;$B$5+$B$6+$B$7,0,IF(A104&gt;$B$6+$B$7,$B$13/K105,IF(A104&gt;=$B$6,$B$13*$B$15/K105,($B$13*$B$15+$B$12)/K105))))</f>
        <v/>
      </c>
      <c r="O104" s="29">
        <f>IF(A104&gt;$B$5+$B$6+$B$7,0,IF(A104=$B$6,-$M$7*$B$12,0))</f>
        <v/>
      </c>
      <c r="P104" s="29">
        <f>IF(A104&gt;$B$5+$B$6+$B$7,0,N104/(M104-L104*P103))</f>
        <v/>
      </c>
      <c r="Q104" s="29">
        <f>IF(A104&gt;$B$5+$B$6+$B$7,0,(O104-L104*Q103)/(M104-L104*P103))</f>
        <v/>
      </c>
      <c r="R104" s="30">
        <f>IF(A104&gt;$B$5+$B$6+$B$7,0,Q104-P104*R105)</f>
        <v/>
      </c>
      <c r="S104" s="29">
        <f>IF(A104&gt;$B$5+$B$6+$B$7,0,IF(A104&lt;=$B$6,$H$8*$B$9^$I$8,IF(A104&lt;=$B$6+$B$7,$H$8*$B$10^$I$8,$H$8*$B$11^$I$8)))</f>
        <v/>
      </c>
      <c r="T104" s="29">
        <f>IF(A104&gt;$B$5+$B$6+$B$7,0,IF(A104=1,0,$B$14))</f>
        <v/>
      </c>
      <c r="U104" s="29">
        <f>IF(A104&gt;$B$5+$B$6+$B$7,0,IF(A104&gt;$B$6+$B$7,-$B$14-$B$13/S104,IF(A104&gt;$B$6,-$B$14-$B$13*$B$15/S104,-$B$14-($B$13*$B$15+$B$12)/S104)))</f>
        <v/>
      </c>
      <c r="V104" s="29">
        <f>IF(A104&gt;$B$5+$B$6+$B$7,0,IF(A104+1&gt;$B$5+$B$6+$B$7,0,IF(A104&gt;$B$6+$B$7,$B$13/S105,IF(A104&gt;=$B$6,$B$13*$B$15/S105,($B$13*$B$15+$B$12)/S105))))</f>
        <v/>
      </c>
      <c r="W104" s="29">
        <f>IF(A104&gt;$B$5+$B$6+$B$7,0,IF(A104=$B$6,-$M$8*$B$12,0))</f>
        <v/>
      </c>
      <c r="X104" s="29">
        <f>IF(A104&gt;$B$5+$B$6+$B$7,0,V104/(U104-T104*X103))</f>
        <v/>
      </c>
      <c r="Y104" s="29">
        <f>IF(A104&gt;$B$5+$B$6+$B$7,0,(W104-T104*Y103)/(U104-T104*X103))</f>
        <v/>
      </c>
      <c r="Z104" s="30">
        <f>IF(A104&gt;$B$5+$B$6+$B$7,0,Y104-X104*Z105)</f>
        <v/>
      </c>
      <c r="AA104" s="29">
        <f>IF(A104&gt;$B$5+$B$6+$B$7,0,IF(A104&lt;=$B$6,$H$9*$B$9^$I$9,IF(A104&lt;=$B$6+$B$7,$H$9*$B$10^$I$9,$H$9*$B$11^$I$9)))</f>
        <v/>
      </c>
      <c r="AB104" s="29">
        <f>IF(A104&gt;$B$5+$B$6+$B$7,0,IF(A104=1,0,$B$14))</f>
        <v/>
      </c>
      <c r="AC104" s="29">
        <f>IF(A104&gt;$B$5+$B$6+$B$7,0,IF(A104&gt;$B$6+$B$7,-$B$14-$B$13/AA104,IF(A104&gt;$B$6,-$B$14-$B$13*$B$15/AA104,-$B$14-($B$13*$B$15+$B$12)/AA104)))</f>
        <v/>
      </c>
      <c r="AD104" s="29">
        <f>IF(A104&gt;$B$5+$B$6+$B$7,0,IF(A104+1&gt;$B$5+$B$6+$B$7,0,IF(A104&gt;$B$6+$B$7,$B$13/AA105,IF(A104&gt;=$B$6,$B$13*$B$15/AA105,($B$13*$B$15+$B$12)/AA105))))</f>
        <v/>
      </c>
      <c r="AE104" s="29">
        <f>IF(A104&gt;$B$5+$B$6+$B$7,0,IF(A104=$B$6,-$M$9*$B$12,0))</f>
        <v/>
      </c>
      <c r="AF104" s="29">
        <f>IF(A104&gt;$B$5+$B$6+$B$7,0,AD104/(AC104-AB104*AF103))</f>
        <v/>
      </c>
      <c r="AG104" s="29">
        <f>IF(A104&gt;$B$5+$B$6+$B$7,0,(AE104-AB104*AG103)/(AC104-AB104*AF103))</f>
        <v/>
      </c>
      <c r="AH104" s="30">
        <f>IF(A104&gt;$B$5+$B$6+$B$7,0,AG104-AF104*AH105)</f>
        <v/>
      </c>
      <c r="AI104" s="31">
        <f>IF(A104&gt;$B$5+$B$6+$B$7,0,IF(C104&lt;&gt;0,J104/C104,0))</f>
        <v/>
      </c>
      <c r="AJ104" s="31">
        <f>IF(A104&gt;$B$5+$B$6+$B$7,0,IF(K104&lt;&gt;0,R104/K104,0))</f>
        <v/>
      </c>
      <c r="AK104" s="31">
        <f>IF(A104&gt;$B$5+$B$6+$B$7,0,IF(S104&lt;&gt;0,Z104/S104,0))</f>
        <v/>
      </c>
      <c r="AL104" s="31">
        <f>IF(A104&gt;$B$5+$B$6+$B$7,0,IF(AA104&lt;&gt;0,AH104/AA104,0))</f>
        <v/>
      </c>
      <c r="AM104" s="30">
        <f>J104+R104+Z104+AH104</f>
        <v/>
      </c>
      <c r="AN104" s="30">
        <f>AI104+AJ104+AK104+AL104</f>
        <v/>
      </c>
    </row>
    <row r="105">
      <c r="A105" s="27" t="n">
        <v>86</v>
      </c>
      <c r="B105" s="28">
        <f>IF(A105&gt;$B$5+$B$6+$B$7,"—",IF(A105&lt;=$B$6,"Extraction",IF(A105&lt;=$B$6+$B$7,"Scrub","Strip")))</f>
        <v/>
      </c>
      <c r="C105" s="29">
        <f>IF(A105&gt;$B$5+$B$6+$B$7,0,IF(A105&lt;=$B$6,$H$6*$B$9^$I$6,IF(A105&lt;=$B$6+$B$7,$H$6*$B$10^$I$6,$H$6*$B$11^$I$6)))</f>
        <v/>
      </c>
      <c r="D105" s="29">
        <f>IF(A105&gt;$B$5+$B$6+$B$7,0,IF(A105=1,0,$B$14))</f>
        <v/>
      </c>
      <c r="E105" s="29">
        <f>IF(A105&gt;$B$5+$B$6+$B$7,0,IF(A105&gt;$B$6+$B$7,-$B$14-$B$13/C105,IF(A105&gt;$B$6,-$B$14-$B$13*$B$15/C105,-$B$14-($B$13*$B$15+$B$12)/C105)))</f>
        <v/>
      </c>
      <c r="F105" s="29">
        <f>IF(A105&gt;$B$5+$B$6+$B$7,0,IF(A105+1&gt;$B$5+$B$6+$B$7,0,IF(A105&gt;$B$6+$B$7,$B$13/C106,IF(A105&gt;=$B$6,$B$13*$B$15/C106,($B$13*$B$15+$B$12)/C106))))</f>
        <v/>
      </c>
      <c r="G105" s="29">
        <f>IF(A105&gt;$B$5+$B$6+$B$7,0,IF(A105=$B$6,-$M$6*$B$12,0))</f>
        <v/>
      </c>
      <c r="H105" s="29">
        <f>IF(A105&gt;$B$5+$B$6+$B$7,0,F105/(E105-D105*H104))</f>
        <v/>
      </c>
      <c r="I105" s="29">
        <f>IF(A105&gt;$B$5+$B$6+$B$7,0,(G105-D105*I104)/(E105-D105*H104))</f>
        <v/>
      </c>
      <c r="J105" s="30">
        <f>IF(A105&gt;$B$5+$B$6+$B$7,0,I105-H105*J106)</f>
        <v/>
      </c>
      <c r="K105" s="29">
        <f>IF(A105&gt;$B$5+$B$6+$B$7,0,IF(A105&lt;=$B$6,$H$7*$B$9^$I$7,IF(A105&lt;=$B$6+$B$7,$H$7*$B$10^$I$7,$H$7*$B$11^$I$7)))</f>
        <v/>
      </c>
      <c r="L105" s="29">
        <f>IF(A105&gt;$B$5+$B$6+$B$7,0,IF(A105=1,0,$B$14))</f>
        <v/>
      </c>
      <c r="M105" s="29">
        <f>IF(A105&gt;$B$5+$B$6+$B$7,0,IF(A105&gt;$B$6+$B$7,-$B$14-$B$13/K105,IF(A105&gt;$B$6,-$B$14-$B$13*$B$15/K105,-$B$14-($B$13*$B$15+$B$12)/K105)))</f>
        <v/>
      </c>
      <c r="N105" s="29">
        <f>IF(A105&gt;$B$5+$B$6+$B$7,0,IF(A105+1&gt;$B$5+$B$6+$B$7,0,IF(A105&gt;$B$6+$B$7,$B$13/K106,IF(A105&gt;=$B$6,$B$13*$B$15/K106,($B$13*$B$15+$B$12)/K106))))</f>
        <v/>
      </c>
      <c r="O105" s="29">
        <f>IF(A105&gt;$B$5+$B$6+$B$7,0,IF(A105=$B$6,-$M$7*$B$12,0))</f>
        <v/>
      </c>
      <c r="P105" s="29">
        <f>IF(A105&gt;$B$5+$B$6+$B$7,0,N105/(M105-L105*P104))</f>
        <v/>
      </c>
      <c r="Q105" s="29">
        <f>IF(A105&gt;$B$5+$B$6+$B$7,0,(O105-L105*Q104)/(M105-L105*P104))</f>
        <v/>
      </c>
      <c r="R105" s="30">
        <f>IF(A105&gt;$B$5+$B$6+$B$7,0,Q105-P105*R106)</f>
        <v/>
      </c>
      <c r="S105" s="29">
        <f>IF(A105&gt;$B$5+$B$6+$B$7,0,IF(A105&lt;=$B$6,$H$8*$B$9^$I$8,IF(A105&lt;=$B$6+$B$7,$H$8*$B$10^$I$8,$H$8*$B$11^$I$8)))</f>
        <v/>
      </c>
      <c r="T105" s="29">
        <f>IF(A105&gt;$B$5+$B$6+$B$7,0,IF(A105=1,0,$B$14))</f>
        <v/>
      </c>
      <c r="U105" s="29">
        <f>IF(A105&gt;$B$5+$B$6+$B$7,0,IF(A105&gt;$B$6+$B$7,-$B$14-$B$13/S105,IF(A105&gt;$B$6,-$B$14-$B$13*$B$15/S105,-$B$14-($B$13*$B$15+$B$12)/S105)))</f>
        <v/>
      </c>
      <c r="V105" s="29">
        <f>IF(A105&gt;$B$5+$B$6+$B$7,0,IF(A105+1&gt;$B$5+$B$6+$B$7,0,IF(A105&gt;$B$6+$B$7,$B$13/S106,IF(A105&gt;=$B$6,$B$13*$B$15/S106,($B$13*$B$15+$B$12)/S106))))</f>
        <v/>
      </c>
      <c r="W105" s="29">
        <f>IF(A105&gt;$B$5+$B$6+$B$7,0,IF(A105=$B$6,-$M$8*$B$12,0))</f>
        <v/>
      </c>
      <c r="X105" s="29">
        <f>IF(A105&gt;$B$5+$B$6+$B$7,0,V105/(U105-T105*X104))</f>
        <v/>
      </c>
      <c r="Y105" s="29">
        <f>IF(A105&gt;$B$5+$B$6+$B$7,0,(W105-T105*Y104)/(U105-T105*X104))</f>
        <v/>
      </c>
      <c r="Z105" s="30">
        <f>IF(A105&gt;$B$5+$B$6+$B$7,0,Y105-X105*Z106)</f>
        <v/>
      </c>
      <c r="AA105" s="29">
        <f>IF(A105&gt;$B$5+$B$6+$B$7,0,IF(A105&lt;=$B$6,$H$9*$B$9^$I$9,IF(A105&lt;=$B$6+$B$7,$H$9*$B$10^$I$9,$H$9*$B$11^$I$9)))</f>
        <v/>
      </c>
      <c r="AB105" s="29">
        <f>IF(A105&gt;$B$5+$B$6+$B$7,0,IF(A105=1,0,$B$14))</f>
        <v/>
      </c>
      <c r="AC105" s="29">
        <f>IF(A105&gt;$B$5+$B$6+$B$7,0,IF(A105&gt;$B$6+$B$7,-$B$14-$B$13/AA105,IF(A105&gt;$B$6,-$B$14-$B$13*$B$15/AA105,-$B$14-($B$13*$B$15+$B$12)/AA105)))</f>
        <v/>
      </c>
      <c r="AD105" s="29">
        <f>IF(A105&gt;$B$5+$B$6+$B$7,0,IF(A105+1&gt;$B$5+$B$6+$B$7,0,IF(A105&gt;$B$6+$B$7,$B$13/AA106,IF(A105&gt;=$B$6,$B$13*$B$15/AA106,($B$13*$B$15+$B$12)/AA106))))</f>
        <v/>
      </c>
      <c r="AE105" s="29">
        <f>IF(A105&gt;$B$5+$B$6+$B$7,0,IF(A105=$B$6,-$M$9*$B$12,0))</f>
        <v/>
      </c>
      <c r="AF105" s="29">
        <f>IF(A105&gt;$B$5+$B$6+$B$7,0,AD105/(AC105-AB105*AF104))</f>
        <v/>
      </c>
      <c r="AG105" s="29">
        <f>IF(A105&gt;$B$5+$B$6+$B$7,0,(AE105-AB105*AG104)/(AC105-AB105*AF104))</f>
        <v/>
      </c>
      <c r="AH105" s="30">
        <f>IF(A105&gt;$B$5+$B$6+$B$7,0,AG105-AF105*AH106)</f>
        <v/>
      </c>
      <c r="AI105" s="31">
        <f>IF(A105&gt;$B$5+$B$6+$B$7,0,IF(C105&lt;&gt;0,J105/C105,0))</f>
        <v/>
      </c>
      <c r="AJ105" s="31">
        <f>IF(A105&gt;$B$5+$B$6+$B$7,0,IF(K105&lt;&gt;0,R105/K105,0))</f>
        <v/>
      </c>
      <c r="AK105" s="31">
        <f>IF(A105&gt;$B$5+$B$6+$B$7,0,IF(S105&lt;&gt;0,Z105/S105,0))</f>
        <v/>
      </c>
      <c r="AL105" s="31">
        <f>IF(A105&gt;$B$5+$B$6+$B$7,0,IF(AA105&lt;&gt;0,AH105/AA105,0))</f>
        <v/>
      </c>
      <c r="AM105" s="30">
        <f>J105+R105+Z105+AH105</f>
        <v/>
      </c>
      <c r="AN105" s="30">
        <f>AI105+AJ105+AK105+AL105</f>
        <v/>
      </c>
    </row>
    <row r="106">
      <c r="A106" s="27" t="n">
        <v>87</v>
      </c>
      <c r="B106" s="28">
        <f>IF(A106&gt;$B$5+$B$6+$B$7,"—",IF(A106&lt;=$B$6,"Extraction",IF(A106&lt;=$B$6+$B$7,"Scrub","Strip")))</f>
        <v/>
      </c>
      <c r="C106" s="29">
        <f>IF(A106&gt;$B$5+$B$6+$B$7,0,IF(A106&lt;=$B$6,$H$6*$B$9^$I$6,IF(A106&lt;=$B$6+$B$7,$H$6*$B$10^$I$6,$H$6*$B$11^$I$6)))</f>
        <v/>
      </c>
      <c r="D106" s="29">
        <f>IF(A106&gt;$B$5+$B$6+$B$7,0,IF(A106=1,0,$B$14))</f>
        <v/>
      </c>
      <c r="E106" s="29">
        <f>IF(A106&gt;$B$5+$B$6+$B$7,0,IF(A106&gt;$B$6+$B$7,-$B$14-$B$13/C106,IF(A106&gt;$B$6,-$B$14-$B$13*$B$15/C106,-$B$14-($B$13*$B$15+$B$12)/C106)))</f>
        <v/>
      </c>
      <c r="F106" s="29">
        <f>IF(A106&gt;$B$5+$B$6+$B$7,0,IF(A106+1&gt;$B$5+$B$6+$B$7,0,IF(A106&gt;$B$6+$B$7,$B$13/C107,IF(A106&gt;=$B$6,$B$13*$B$15/C107,($B$13*$B$15+$B$12)/C107))))</f>
        <v/>
      </c>
      <c r="G106" s="29">
        <f>IF(A106&gt;$B$5+$B$6+$B$7,0,IF(A106=$B$6,-$M$6*$B$12,0))</f>
        <v/>
      </c>
      <c r="H106" s="29">
        <f>IF(A106&gt;$B$5+$B$6+$B$7,0,F106/(E106-D106*H105))</f>
        <v/>
      </c>
      <c r="I106" s="29">
        <f>IF(A106&gt;$B$5+$B$6+$B$7,0,(G106-D106*I105)/(E106-D106*H105))</f>
        <v/>
      </c>
      <c r="J106" s="30">
        <f>IF(A106&gt;$B$5+$B$6+$B$7,0,I106-H106*J107)</f>
        <v/>
      </c>
      <c r="K106" s="29">
        <f>IF(A106&gt;$B$5+$B$6+$B$7,0,IF(A106&lt;=$B$6,$H$7*$B$9^$I$7,IF(A106&lt;=$B$6+$B$7,$H$7*$B$10^$I$7,$H$7*$B$11^$I$7)))</f>
        <v/>
      </c>
      <c r="L106" s="29">
        <f>IF(A106&gt;$B$5+$B$6+$B$7,0,IF(A106=1,0,$B$14))</f>
        <v/>
      </c>
      <c r="M106" s="29">
        <f>IF(A106&gt;$B$5+$B$6+$B$7,0,IF(A106&gt;$B$6+$B$7,-$B$14-$B$13/K106,IF(A106&gt;$B$6,-$B$14-$B$13*$B$15/K106,-$B$14-($B$13*$B$15+$B$12)/K106)))</f>
        <v/>
      </c>
      <c r="N106" s="29">
        <f>IF(A106&gt;$B$5+$B$6+$B$7,0,IF(A106+1&gt;$B$5+$B$6+$B$7,0,IF(A106&gt;$B$6+$B$7,$B$13/K107,IF(A106&gt;=$B$6,$B$13*$B$15/K107,($B$13*$B$15+$B$12)/K107))))</f>
        <v/>
      </c>
      <c r="O106" s="29">
        <f>IF(A106&gt;$B$5+$B$6+$B$7,0,IF(A106=$B$6,-$M$7*$B$12,0))</f>
        <v/>
      </c>
      <c r="P106" s="29">
        <f>IF(A106&gt;$B$5+$B$6+$B$7,0,N106/(M106-L106*P105))</f>
        <v/>
      </c>
      <c r="Q106" s="29">
        <f>IF(A106&gt;$B$5+$B$6+$B$7,0,(O106-L106*Q105)/(M106-L106*P105))</f>
        <v/>
      </c>
      <c r="R106" s="30">
        <f>IF(A106&gt;$B$5+$B$6+$B$7,0,Q106-P106*R107)</f>
        <v/>
      </c>
      <c r="S106" s="29">
        <f>IF(A106&gt;$B$5+$B$6+$B$7,0,IF(A106&lt;=$B$6,$H$8*$B$9^$I$8,IF(A106&lt;=$B$6+$B$7,$H$8*$B$10^$I$8,$H$8*$B$11^$I$8)))</f>
        <v/>
      </c>
      <c r="T106" s="29">
        <f>IF(A106&gt;$B$5+$B$6+$B$7,0,IF(A106=1,0,$B$14))</f>
        <v/>
      </c>
      <c r="U106" s="29">
        <f>IF(A106&gt;$B$5+$B$6+$B$7,0,IF(A106&gt;$B$6+$B$7,-$B$14-$B$13/S106,IF(A106&gt;$B$6,-$B$14-$B$13*$B$15/S106,-$B$14-($B$13*$B$15+$B$12)/S106)))</f>
        <v/>
      </c>
      <c r="V106" s="29">
        <f>IF(A106&gt;$B$5+$B$6+$B$7,0,IF(A106+1&gt;$B$5+$B$6+$B$7,0,IF(A106&gt;$B$6+$B$7,$B$13/S107,IF(A106&gt;=$B$6,$B$13*$B$15/S107,($B$13*$B$15+$B$12)/S107))))</f>
        <v/>
      </c>
      <c r="W106" s="29">
        <f>IF(A106&gt;$B$5+$B$6+$B$7,0,IF(A106=$B$6,-$M$8*$B$12,0))</f>
        <v/>
      </c>
      <c r="X106" s="29">
        <f>IF(A106&gt;$B$5+$B$6+$B$7,0,V106/(U106-T106*X105))</f>
        <v/>
      </c>
      <c r="Y106" s="29">
        <f>IF(A106&gt;$B$5+$B$6+$B$7,0,(W106-T106*Y105)/(U106-T106*X105))</f>
        <v/>
      </c>
      <c r="Z106" s="30">
        <f>IF(A106&gt;$B$5+$B$6+$B$7,0,Y106-X106*Z107)</f>
        <v/>
      </c>
      <c r="AA106" s="29">
        <f>IF(A106&gt;$B$5+$B$6+$B$7,0,IF(A106&lt;=$B$6,$H$9*$B$9^$I$9,IF(A106&lt;=$B$6+$B$7,$H$9*$B$10^$I$9,$H$9*$B$11^$I$9)))</f>
        <v/>
      </c>
      <c r="AB106" s="29">
        <f>IF(A106&gt;$B$5+$B$6+$B$7,0,IF(A106=1,0,$B$14))</f>
        <v/>
      </c>
      <c r="AC106" s="29">
        <f>IF(A106&gt;$B$5+$B$6+$B$7,0,IF(A106&gt;$B$6+$B$7,-$B$14-$B$13/AA106,IF(A106&gt;$B$6,-$B$14-$B$13*$B$15/AA106,-$B$14-($B$13*$B$15+$B$12)/AA106)))</f>
        <v/>
      </c>
      <c r="AD106" s="29">
        <f>IF(A106&gt;$B$5+$B$6+$B$7,0,IF(A106+1&gt;$B$5+$B$6+$B$7,0,IF(A106&gt;$B$6+$B$7,$B$13/AA107,IF(A106&gt;=$B$6,$B$13*$B$15/AA107,($B$13*$B$15+$B$12)/AA107))))</f>
        <v/>
      </c>
      <c r="AE106" s="29">
        <f>IF(A106&gt;$B$5+$B$6+$B$7,0,IF(A106=$B$6,-$M$9*$B$12,0))</f>
        <v/>
      </c>
      <c r="AF106" s="29">
        <f>IF(A106&gt;$B$5+$B$6+$B$7,0,AD106/(AC106-AB106*AF105))</f>
        <v/>
      </c>
      <c r="AG106" s="29">
        <f>IF(A106&gt;$B$5+$B$6+$B$7,0,(AE106-AB106*AG105)/(AC106-AB106*AF105))</f>
        <v/>
      </c>
      <c r="AH106" s="30">
        <f>IF(A106&gt;$B$5+$B$6+$B$7,0,AG106-AF106*AH107)</f>
        <v/>
      </c>
      <c r="AI106" s="31">
        <f>IF(A106&gt;$B$5+$B$6+$B$7,0,IF(C106&lt;&gt;0,J106/C106,0))</f>
        <v/>
      </c>
      <c r="AJ106" s="31">
        <f>IF(A106&gt;$B$5+$B$6+$B$7,0,IF(K106&lt;&gt;0,R106/K106,0))</f>
        <v/>
      </c>
      <c r="AK106" s="31">
        <f>IF(A106&gt;$B$5+$B$6+$B$7,0,IF(S106&lt;&gt;0,Z106/S106,0))</f>
        <v/>
      </c>
      <c r="AL106" s="31">
        <f>IF(A106&gt;$B$5+$B$6+$B$7,0,IF(AA106&lt;&gt;0,AH106/AA106,0))</f>
        <v/>
      </c>
      <c r="AM106" s="30">
        <f>J106+R106+Z106+AH106</f>
        <v/>
      </c>
      <c r="AN106" s="30">
        <f>AI106+AJ106+AK106+AL106</f>
        <v/>
      </c>
    </row>
    <row r="107">
      <c r="A107" s="27" t="n">
        <v>88</v>
      </c>
      <c r="B107" s="28">
        <f>IF(A107&gt;$B$5+$B$6+$B$7,"—",IF(A107&lt;=$B$6,"Extraction",IF(A107&lt;=$B$6+$B$7,"Scrub","Strip")))</f>
        <v/>
      </c>
      <c r="C107" s="29">
        <f>IF(A107&gt;$B$5+$B$6+$B$7,0,IF(A107&lt;=$B$6,$H$6*$B$9^$I$6,IF(A107&lt;=$B$6+$B$7,$H$6*$B$10^$I$6,$H$6*$B$11^$I$6)))</f>
        <v/>
      </c>
      <c r="D107" s="29">
        <f>IF(A107&gt;$B$5+$B$6+$B$7,0,IF(A107=1,0,$B$14))</f>
        <v/>
      </c>
      <c r="E107" s="29">
        <f>IF(A107&gt;$B$5+$B$6+$B$7,0,IF(A107&gt;$B$6+$B$7,-$B$14-$B$13/C107,IF(A107&gt;$B$6,-$B$14-$B$13*$B$15/C107,-$B$14-($B$13*$B$15+$B$12)/C107)))</f>
        <v/>
      </c>
      <c r="F107" s="29">
        <f>IF(A107&gt;$B$5+$B$6+$B$7,0,IF(A107+1&gt;$B$5+$B$6+$B$7,0,IF(A107&gt;$B$6+$B$7,$B$13/C108,IF(A107&gt;=$B$6,$B$13*$B$15/C108,($B$13*$B$15+$B$12)/C108))))</f>
        <v/>
      </c>
      <c r="G107" s="29">
        <f>IF(A107&gt;$B$5+$B$6+$B$7,0,IF(A107=$B$6,-$M$6*$B$12,0))</f>
        <v/>
      </c>
      <c r="H107" s="29">
        <f>IF(A107&gt;$B$5+$B$6+$B$7,0,F107/(E107-D107*H106))</f>
        <v/>
      </c>
      <c r="I107" s="29">
        <f>IF(A107&gt;$B$5+$B$6+$B$7,0,(G107-D107*I106)/(E107-D107*H106))</f>
        <v/>
      </c>
      <c r="J107" s="30">
        <f>IF(A107&gt;$B$5+$B$6+$B$7,0,I107-H107*J108)</f>
        <v/>
      </c>
      <c r="K107" s="29">
        <f>IF(A107&gt;$B$5+$B$6+$B$7,0,IF(A107&lt;=$B$6,$H$7*$B$9^$I$7,IF(A107&lt;=$B$6+$B$7,$H$7*$B$10^$I$7,$H$7*$B$11^$I$7)))</f>
        <v/>
      </c>
      <c r="L107" s="29">
        <f>IF(A107&gt;$B$5+$B$6+$B$7,0,IF(A107=1,0,$B$14))</f>
        <v/>
      </c>
      <c r="M107" s="29">
        <f>IF(A107&gt;$B$5+$B$6+$B$7,0,IF(A107&gt;$B$6+$B$7,-$B$14-$B$13/K107,IF(A107&gt;$B$6,-$B$14-$B$13*$B$15/K107,-$B$14-($B$13*$B$15+$B$12)/K107)))</f>
        <v/>
      </c>
      <c r="N107" s="29">
        <f>IF(A107&gt;$B$5+$B$6+$B$7,0,IF(A107+1&gt;$B$5+$B$6+$B$7,0,IF(A107&gt;$B$6+$B$7,$B$13/K108,IF(A107&gt;=$B$6,$B$13*$B$15/K108,($B$13*$B$15+$B$12)/K108))))</f>
        <v/>
      </c>
      <c r="O107" s="29">
        <f>IF(A107&gt;$B$5+$B$6+$B$7,0,IF(A107=$B$6,-$M$7*$B$12,0))</f>
        <v/>
      </c>
      <c r="P107" s="29">
        <f>IF(A107&gt;$B$5+$B$6+$B$7,0,N107/(M107-L107*P106))</f>
        <v/>
      </c>
      <c r="Q107" s="29">
        <f>IF(A107&gt;$B$5+$B$6+$B$7,0,(O107-L107*Q106)/(M107-L107*P106))</f>
        <v/>
      </c>
      <c r="R107" s="30">
        <f>IF(A107&gt;$B$5+$B$6+$B$7,0,Q107-P107*R108)</f>
        <v/>
      </c>
      <c r="S107" s="29">
        <f>IF(A107&gt;$B$5+$B$6+$B$7,0,IF(A107&lt;=$B$6,$H$8*$B$9^$I$8,IF(A107&lt;=$B$6+$B$7,$H$8*$B$10^$I$8,$H$8*$B$11^$I$8)))</f>
        <v/>
      </c>
      <c r="T107" s="29">
        <f>IF(A107&gt;$B$5+$B$6+$B$7,0,IF(A107=1,0,$B$14))</f>
        <v/>
      </c>
      <c r="U107" s="29">
        <f>IF(A107&gt;$B$5+$B$6+$B$7,0,IF(A107&gt;$B$6+$B$7,-$B$14-$B$13/S107,IF(A107&gt;$B$6,-$B$14-$B$13*$B$15/S107,-$B$14-($B$13*$B$15+$B$12)/S107)))</f>
        <v/>
      </c>
      <c r="V107" s="29">
        <f>IF(A107&gt;$B$5+$B$6+$B$7,0,IF(A107+1&gt;$B$5+$B$6+$B$7,0,IF(A107&gt;$B$6+$B$7,$B$13/S108,IF(A107&gt;=$B$6,$B$13*$B$15/S108,($B$13*$B$15+$B$12)/S108))))</f>
        <v/>
      </c>
      <c r="W107" s="29">
        <f>IF(A107&gt;$B$5+$B$6+$B$7,0,IF(A107=$B$6,-$M$8*$B$12,0))</f>
        <v/>
      </c>
      <c r="X107" s="29">
        <f>IF(A107&gt;$B$5+$B$6+$B$7,0,V107/(U107-T107*X106))</f>
        <v/>
      </c>
      <c r="Y107" s="29">
        <f>IF(A107&gt;$B$5+$B$6+$B$7,0,(W107-T107*Y106)/(U107-T107*X106))</f>
        <v/>
      </c>
      <c r="Z107" s="30">
        <f>IF(A107&gt;$B$5+$B$6+$B$7,0,Y107-X107*Z108)</f>
        <v/>
      </c>
      <c r="AA107" s="29">
        <f>IF(A107&gt;$B$5+$B$6+$B$7,0,IF(A107&lt;=$B$6,$H$9*$B$9^$I$9,IF(A107&lt;=$B$6+$B$7,$H$9*$B$10^$I$9,$H$9*$B$11^$I$9)))</f>
        <v/>
      </c>
      <c r="AB107" s="29">
        <f>IF(A107&gt;$B$5+$B$6+$B$7,0,IF(A107=1,0,$B$14))</f>
        <v/>
      </c>
      <c r="AC107" s="29">
        <f>IF(A107&gt;$B$5+$B$6+$B$7,0,IF(A107&gt;$B$6+$B$7,-$B$14-$B$13/AA107,IF(A107&gt;$B$6,-$B$14-$B$13*$B$15/AA107,-$B$14-($B$13*$B$15+$B$12)/AA107)))</f>
        <v/>
      </c>
      <c r="AD107" s="29">
        <f>IF(A107&gt;$B$5+$B$6+$B$7,0,IF(A107+1&gt;$B$5+$B$6+$B$7,0,IF(A107&gt;$B$6+$B$7,$B$13/AA108,IF(A107&gt;=$B$6,$B$13*$B$15/AA108,($B$13*$B$15+$B$12)/AA108))))</f>
        <v/>
      </c>
      <c r="AE107" s="29">
        <f>IF(A107&gt;$B$5+$B$6+$B$7,0,IF(A107=$B$6,-$M$9*$B$12,0))</f>
        <v/>
      </c>
      <c r="AF107" s="29">
        <f>IF(A107&gt;$B$5+$B$6+$B$7,0,AD107/(AC107-AB107*AF106))</f>
        <v/>
      </c>
      <c r="AG107" s="29">
        <f>IF(A107&gt;$B$5+$B$6+$B$7,0,(AE107-AB107*AG106)/(AC107-AB107*AF106))</f>
        <v/>
      </c>
      <c r="AH107" s="30">
        <f>IF(A107&gt;$B$5+$B$6+$B$7,0,AG107-AF107*AH108)</f>
        <v/>
      </c>
      <c r="AI107" s="31">
        <f>IF(A107&gt;$B$5+$B$6+$B$7,0,IF(C107&lt;&gt;0,J107/C107,0))</f>
        <v/>
      </c>
      <c r="AJ107" s="31">
        <f>IF(A107&gt;$B$5+$B$6+$B$7,0,IF(K107&lt;&gt;0,R107/K107,0))</f>
        <v/>
      </c>
      <c r="AK107" s="31">
        <f>IF(A107&gt;$B$5+$B$6+$B$7,0,IF(S107&lt;&gt;0,Z107/S107,0))</f>
        <v/>
      </c>
      <c r="AL107" s="31">
        <f>IF(A107&gt;$B$5+$B$6+$B$7,0,IF(AA107&lt;&gt;0,AH107/AA107,0))</f>
        <v/>
      </c>
      <c r="AM107" s="30">
        <f>J107+R107+Z107+AH107</f>
        <v/>
      </c>
      <c r="AN107" s="30">
        <f>AI107+AJ107+AK107+AL107</f>
        <v/>
      </c>
    </row>
    <row r="108">
      <c r="A108" s="27" t="n">
        <v>89</v>
      </c>
      <c r="B108" s="28">
        <f>IF(A108&gt;$B$5+$B$6+$B$7,"—",IF(A108&lt;=$B$6,"Extraction",IF(A108&lt;=$B$6+$B$7,"Scrub","Strip")))</f>
        <v/>
      </c>
      <c r="C108" s="29">
        <f>IF(A108&gt;$B$5+$B$6+$B$7,0,IF(A108&lt;=$B$6,$H$6*$B$9^$I$6,IF(A108&lt;=$B$6+$B$7,$H$6*$B$10^$I$6,$H$6*$B$11^$I$6)))</f>
        <v/>
      </c>
      <c r="D108" s="29">
        <f>IF(A108&gt;$B$5+$B$6+$B$7,0,IF(A108=1,0,$B$14))</f>
        <v/>
      </c>
      <c r="E108" s="29">
        <f>IF(A108&gt;$B$5+$B$6+$B$7,0,IF(A108&gt;$B$6+$B$7,-$B$14-$B$13/C108,IF(A108&gt;$B$6,-$B$14-$B$13*$B$15/C108,-$B$14-($B$13*$B$15+$B$12)/C108)))</f>
        <v/>
      </c>
      <c r="F108" s="29">
        <f>IF(A108&gt;$B$5+$B$6+$B$7,0,IF(A108+1&gt;$B$5+$B$6+$B$7,0,IF(A108&gt;$B$6+$B$7,$B$13/C109,IF(A108&gt;=$B$6,$B$13*$B$15/C109,($B$13*$B$15+$B$12)/C109))))</f>
        <v/>
      </c>
      <c r="G108" s="29">
        <f>IF(A108&gt;$B$5+$B$6+$B$7,0,IF(A108=$B$6,-$M$6*$B$12,0))</f>
        <v/>
      </c>
      <c r="H108" s="29">
        <f>IF(A108&gt;$B$5+$B$6+$B$7,0,F108/(E108-D108*H107))</f>
        <v/>
      </c>
      <c r="I108" s="29">
        <f>IF(A108&gt;$B$5+$B$6+$B$7,0,(G108-D108*I107)/(E108-D108*H107))</f>
        <v/>
      </c>
      <c r="J108" s="30">
        <f>IF(A108&gt;$B$5+$B$6+$B$7,0,I108-H108*J109)</f>
        <v/>
      </c>
      <c r="K108" s="29">
        <f>IF(A108&gt;$B$5+$B$6+$B$7,0,IF(A108&lt;=$B$6,$H$7*$B$9^$I$7,IF(A108&lt;=$B$6+$B$7,$H$7*$B$10^$I$7,$H$7*$B$11^$I$7)))</f>
        <v/>
      </c>
      <c r="L108" s="29">
        <f>IF(A108&gt;$B$5+$B$6+$B$7,0,IF(A108=1,0,$B$14))</f>
        <v/>
      </c>
      <c r="M108" s="29">
        <f>IF(A108&gt;$B$5+$B$6+$B$7,0,IF(A108&gt;$B$6+$B$7,-$B$14-$B$13/K108,IF(A108&gt;$B$6,-$B$14-$B$13*$B$15/K108,-$B$14-($B$13*$B$15+$B$12)/K108)))</f>
        <v/>
      </c>
      <c r="N108" s="29">
        <f>IF(A108&gt;$B$5+$B$6+$B$7,0,IF(A108+1&gt;$B$5+$B$6+$B$7,0,IF(A108&gt;$B$6+$B$7,$B$13/K109,IF(A108&gt;=$B$6,$B$13*$B$15/K109,($B$13*$B$15+$B$12)/K109))))</f>
        <v/>
      </c>
      <c r="O108" s="29">
        <f>IF(A108&gt;$B$5+$B$6+$B$7,0,IF(A108=$B$6,-$M$7*$B$12,0))</f>
        <v/>
      </c>
      <c r="P108" s="29">
        <f>IF(A108&gt;$B$5+$B$6+$B$7,0,N108/(M108-L108*P107))</f>
        <v/>
      </c>
      <c r="Q108" s="29">
        <f>IF(A108&gt;$B$5+$B$6+$B$7,0,(O108-L108*Q107)/(M108-L108*P107))</f>
        <v/>
      </c>
      <c r="R108" s="30">
        <f>IF(A108&gt;$B$5+$B$6+$B$7,0,Q108-P108*R109)</f>
        <v/>
      </c>
      <c r="S108" s="29">
        <f>IF(A108&gt;$B$5+$B$6+$B$7,0,IF(A108&lt;=$B$6,$H$8*$B$9^$I$8,IF(A108&lt;=$B$6+$B$7,$H$8*$B$10^$I$8,$H$8*$B$11^$I$8)))</f>
        <v/>
      </c>
      <c r="T108" s="29">
        <f>IF(A108&gt;$B$5+$B$6+$B$7,0,IF(A108=1,0,$B$14))</f>
        <v/>
      </c>
      <c r="U108" s="29">
        <f>IF(A108&gt;$B$5+$B$6+$B$7,0,IF(A108&gt;$B$6+$B$7,-$B$14-$B$13/S108,IF(A108&gt;$B$6,-$B$14-$B$13*$B$15/S108,-$B$14-($B$13*$B$15+$B$12)/S108)))</f>
        <v/>
      </c>
      <c r="V108" s="29">
        <f>IF(A108&gt;$B$5+$B$6+$B$7,0,IF(A108+1&gt;$B$5+$B$6+$B$7,0,IF(A108&gt;$B$6+$B$7,$B$13/S109,IF(A108&gt;=$B$6,$B$13*$B$15/S109,($B$13*$B$15+$B$12)/S109))))</f>
        <v/>
      </c>
      <c r="W108" s="29">
        <f>IF(A108&gt;$B$5+$B$6+$B$7,0,IF(A108=$B$6,-$M$8*$B$12,0))</f>
        <v/>
      </c>
      <c r="X108" s="29">
        <f>IF(A108&gt;$B$5+$B$6+$B$7,0,V108/(U108-T108*X107))</f>
        <v/>
      </c>
      <c r="Y108" s="29">
        <f>IF(A108&gt;$B$5+$B$6+$B$7,0,(W108-T108*Y107)/(U108-T108*X107))</f>
        <v/>
      </c>
      <c r="Z108" s="30">
        <f>IF(A108&gt;$B$5+$B$6+$B$7,0,Y108-X108*Z109)</f>
        <v/>
      </c>
      <c r="AA108" s="29">
        <f>IF(A108&gt;$B$5+$B$6+$B$7,0,IF(A108&lt;=$B$6,$H$9*$B$9^$I$9,IF(A108&lt;=$B$6+$B$7,$H$9*$B$10^$I$9,$H$9*$B$11^$I$9)))</f>
        <v/>
      </c>
      <c r="AB108" s="29">
        <f>IF(A108&gt;$B$5+$B$6+$B$7,0,IF(A108=1,0,$B$14))</f>
        <v/>
      </c>
      <c r="AC108" s="29">
        <f>IF(A108&gt;$B$5+$B$6+$B$7,0,IF(A108&gt;$B$6+$B$7,-$B$14-$B$13/AA108,IF(A108&gt;$B$6,-$B$14-$B$13*$B$15/AA108,-$B$14-($B$13*$B$15+$B$12)/AA108)))</f>
        <v/>
      </c>
      <c r="AD108" s="29">
        <f>IF(A108&gt;$B$5+$B$6+$B$7,0,IF(A108+1&gt;$B$5+$B$6+$B$7,0,IF(A108&gt;$B$6+$B$7,$B$13/AA109,IF(A108&gt;=$B$6,$B$13*$B$15/AA109,($B$13*$B$15+$B$12)/AA109))))</f>
        <v/>
      </c>
      <c r="AE108" s="29">
        <f>IF(A108&gt;$B$5+$B$6+$B$7,0,IF(A108=$B$6,-$M$9*$B$12,0))</f>
        <v/>
      </c>
      <c r="AF108" s="29">
        <f>IF(A108&gt;$B$5+$B$6+$B$7,0,AD108/(AC108-AB108*AF107))</f>
        <v/>
      </c>
      <c r="AG108" s="29">
        <f>IF(A108&gt;$B$5+$B$6+$B$7,0,(AE108-AB108*AG107)/(AC108-AB108*AF107))</f>
        <v/>
      </c>
      <c r="AH108" s="30">
        <f>IF(A108&gt;$B$5+$B$6+$B$7,0,AG108-AF108*AH109)</f>
        <v/>
      </c>
      <c r="AI108" s="31">
        <f>IF(A108&gt;$B$5+$B$6+$B$7,0,IF(C108&lt;&gt;0,J108/C108,0))</f>
        <v/>
      </c>
      <c r="AJ108" s="31">
        <f>IF(A108&gt;$B$5+$B$6+$B$7,0,IF(K108&lt;&gt;0,R108/K108,0))</f>
        <v/>
      </c>
      <c r="AK108" s="31">
        <f>IF(A108&gt;$B$5+$B$6+$B$7,0,IF(S108&lt;&gt;0,Z108/S108,0))</f>
        <v/>
      </c>
      <c r="AL108" s="31">
        <f>IF(A108&gt;$B$5+$B$6+$B$7,0,IF(AA108&lt;&gt;0,AH108/AA108,0))</f>
        <v/>
      </c>
      <c r="AM108" s="30">
        <f>J108+R108+Z108+AH108</f>
        <v/>
      </c>
      <c r="AN108" s="30">
        <f>AI108+AJ108+AK108+AL108</f>
        <v/>
      </c>
    </row>
    <row r="109">
      <c r="A109" s="27" t="n">
        <v>90</v>
      </c>
      <c r="B109" s="28">
        <f>IF(A109&gt;$B$5+$B$6+$B$7,"—",IF(A109&lt;=$B$6,"Extraction",IF(A109&lt;=$B$6+$B$7,"Scrub","Strip")))</f>
        <v/>
      </c>
      <c r="C109" s="29">
        <f>IF(A109&gt;$B$5+$B$6+$B$7,0,IF(A109&lt;=$B$6,$H$6*$B$9^$I$6,IF(A109&lt;=$B$6+$B$7,$H$6*$B$10^$I$6,$H$6*$B$11^$I$6)))</f>
        <v/>
      </c>
      <c r="D109" s="29">
        <f>IF(A109&gt;$B$5+$B$6+$B$7,0,IF(A109=1,0,$B$14))</f>
        <v/>
      </c>
      <c r="E109" s="29">
        <f>IF(A109&gt;$B$5+$B$6+$B$7,0,IF(A109&gt;$B$6+$B$7,-$B$14-$B$13/C109,IF(A109&gt;$B$6,-$B$14-$B$13*$B$15/C109,-$B$14-($B$13*$B$15+$B$12)/C109)))</f>
        <v/>
      </c>
      <c r="F109" s="29">
        <f>IF(A109&gt;$B$5+$B$6+$B$7,0,IF(A109+1&gt;$B$5+$B$6+$B$7,0,IF(A109&gt;$B$6+$B$7,$B$13/C110,IF(A109&gt;=$B$6,$B$13*$B$15/C110,($B$13*$B$15+$B$12)/C110))))</f>
        <v/>
      </c>
      <c r="G109" s="29">
        <f>IF(A109&gt;$B$5+$B$6+$B$7,0,IF(A109=$B$6,-$M$6*$B$12,0))</f>
        <v/>
      </c>
      <c r="H109" s="29">
        <f>IF(A109&gt;$B$5+$B$6+$B$7,0,F109/(E109-D109*H108))</f>
        <v/>
      </c>
      <c r="I109" s="29">
        <f>IF(A109&gt;$B$5+$B$6+$B$7,0,(G109-D109*I108)/(E109-D109*H108))</f>
        <v/>
      </c>
      <c r="J109" s="30">
        <f>IF(A109&gt;$B$5+$B$6+$B$7,0,I109-H109*J110)</f>
        <v/>
      </c>
      <c r="K109" s="29">
        <f>IF(A109&gt;$B$5+$B$6+$B$7,0,IF(A109&lt;=$B$6,$H$7*$B$9^$I$7,IF(A109&lt;=$B$6+$B$7,$H$7*$B$10^$I$7,$H$7*$B$11^$I$7)))</f>
        <v/>
      </c>
      <c r="L109" s="29">
        <f>IF(A109&gt;$B$5+$B$6+$B$7,0,IF(A109=1,0,$B$14))</f>
        <v/>
      </c>
      <c r="M109" s="29">
        <f>IF(A109&gt;$B$5+$B$6+$B$7,0,IF(A109&gt;$B$6+$B$7,-$B$14-$B$13/K109,IF(A109&gt;$B$6,-$B$14-$B$13*$B$15/K109,-$B$14-($B$13*$B$15+$B$12)/K109)))</f>
        <v/>
      </c>
      <c r="N109" s="29">
        <f>IF(A109&gt;$B$5+$B$6+$B$7,0,IF(A109+1&gt;$B$5+$B$6+$B$7,0,IF(A109&gt;$B$6+$B$7,$B$13/K110,IF(A109&gt;=$B$6,$B$13*$B$15/K110,($B$13*$B$15+$B$12)/K110))))</f>
        <v/>
      </c>
      <c r="O109" s="29">
        <f>IF(A109&gt;$B$5+$B$6+$B$7,0,IF(A109=$B$6,-$M$7*$B$12,0))</f>
        <v/>
      </c>
      <c r="P109" s="29">
        <f>IF(A109&gt;$B$5+$B$6+$B$7,0,N109/(M109-L109*P108))</f>
        <v/>
      </c>
      <c r="Q109" s="29">
        <f>IF(A109&gt;$B$5+$B$6+$B$7,0,(O109-L109*Q108)/(M109-L109*P108))</f>
        <v/>
      </c>
      <c r="R109" s="30">
        <f>IF(A109&gt;$B$5+$B$6+$B$7,0,Q109-P109*R110)</f>
        <v/>
      </c>
      <c r="S109" s="29">
        <f>IF(A109&gt;$B$5+$B$6+$B$7,0,IF(A109&lt;=$B$6,$H$8*$B$9^$I$8,IF(A109&lt;=$B$6+$B$7,$H$8*$B$10^$I$8,$H$8*$B$11^$I$8)))</f>
        <v/>
      </c>
      <c r="T109" s="29">
        <f>IF(A109&gt;$B$5+$B$6+$B$7,0,IF(A109=1,0,$B$14))</f>
        <v/>
      </c>
      <c r="U109" s="29">
        <f>IF(A109&gt;$B$5+$B$6+$B$7,0,IF(A109&gt;$B$6+$B$7,-$B$14-$B$13/S109,IF(A109&gt;$B$6,-$B$14-$B$13*$B$15/S109,-$B$14-($B$13*$B$15+$B$12)/S109)))</f>
        <v/>
      </c>
      <c r="V109" s="29">
        <f>IF(A109&gt;$B$5+$B$6+$B$7,0,IF(A109+1&gt;$B$5+$B$6+$B$7,0,IF(A109&gt;$B$6+$B$7,$B$13/S110,IF(A109&gt;=$B$6,$B$13*$B$15/S110,($B$13*$B$15+$B$12)/S110))))</f>
        <v/>
      </c>
      <c r="W109" s="29">
        <f>IF(A109&gt;$B$5+$B$6+$B$7,0,IF(A109=$B$6,-$M$8*$B$12,0))</f>
        <v/>
      </c>
      <c r="X109" s="29">
        <f>IF(A109&gt;$B$5+$B$6+$B$7,0,V109/(U109-T109*X108))</f>
        <v/>
      </c>
      <c r="Y109" s="29">
        <f>IF(A109&gt;$B$5+$B$6+$B$7,0,(W109-T109*Y108)/(U109-T109*X108))</f>
        <v/>
      </c>
      <c r="Z109" s="30">
        <f>IF(A109&gt;$B$5+$B$6+$B$7,0,Y109-X109*Z110)</f>
        <v/>
      </c>
      <c r="AA109" s="29">
        <f>IF(A109&gt;$B$5+$B$6+$B$7,0,IF(A109&lt;=$B$6,$H$9*$B$9^$I$9,IF(A109&lt;=$B$6+$B$7,$H$9*$B$10^$I$9,$H$9*$B$11^$I$9)))</f>
        <v/>
      </c>
      <c r="AB109" s="29">
        <f>IF(A109&gt;$B$5+$B$6+$B$7,0,IF(A109=1,0,$B$14))</f>
        <v/>
      </c>
      <c r="AC109" s="29">
        <f>IF(A109&gt;$B$5+$B$6+$B$7,0,IF(A109&gt;$B$6+$B$7,-$B$14-$B$13/AA109,IF(A109&gt;$B$6,-$B$14-$B$13*$B$15/AA109,-$B$14-($B$13*$B$15+$B$12)/AA109)))</f>
        <v/>
      </c>
      <c r="AD109" s="29">
        <f>IF(A109&gt;$B$5+$B$6+$B$7,0,IF(A109+1&gt;$B$5+$B$6+$B$7,0,IF(A109&gt;$B$6+$B$7,$B$13/AA110,IF(A109&gt;=$B$6,$B$13*$B$15/AA110,($B$13*$B$15+$B$12)/AA110))))</f>
        <v/>
      </c>
      <c r="AE109" s="29">
        <f>IF(A109&gt;$B$5+$B$6+$B$7,0,IF(A109=$B$6,-$M$9*$B$12,0))</f>
        <v/>
      </c>
      <c r="AF109" s="29">
        <f>IF(A109&gt;$B$5+$B$6+$B$7,0,AD109/(AC109-AB109*AF108))</f>
        <v/>
      </c>
      <c r="AG109" s="29">
        <f>IF(A109&gt;$B$5+$B$6+$B$7,0,(AE109-AB109*AG108)/(AC109-AB109*AF108))</f>
        <v/>
      </c>
      <c r="AH109" s="30">
        <f>IF(A109&gt;$B$5+$B$6+$B$7,0,AG109-AF109*AH110)</f>
        <v/>
      </c>
      <c r="AI109" s="31">
        <f>IF(A109&gt;$B$5+$B$6+$B$7,0,IF(C109&lt;&gt;0,J109/C109,0))</f>
        <v/>
      </c>
      <c r="AJ109" s="31">
        <f>IF(A109&gt;$B$5+$B$6+$B$7,0,IF(K109&lt;&gt;0,R109/K109,0))</f>
        <v/>
      </c>
      <c r="AK109" s="31">
        <f>IF(A109&gt;$B$5+$B$6+$B$7,0,IF(S109&lt;&gt;0,Z109/S109,0))</f>
        <v/>
      </c>
      <c r="AL109" s="31">
        <f>IF(A109&gt;$B$5+$B$6+$B$7,0,IF(AA109&lt;&gt;0,AH109/AA109,0))</f>
        <v/>
      </c>
      <c r="AM109" s="30">
        <f>J109+R109+Z109+AH109</f>
        <v/>
      </c>
      <c r="AN109" s="30">
        <f>AI109+AJ109+AK109+AL109</f>
        <v/>
      </c>
    </row>
    <row r="110">
      <c r="A110" s="27" t="n">
        <v>91</v>
      </c>
      <c r="B110" s="28">
        <f>IF(A110&gt;$B$5+$B$6+$B$7,"—",IF(A110&lt;=$B$6,"Extraction",IF(A110&lt;=$B$6+$B$7,"Scrub","Strip")))</f>
        <v/>
      </c>
      <c r="C110" s="29">
        <f>IF(A110&gt;$B$5+$B$6+$B$7,0,IF(A110&lt;=$B$6,$H$6*$B$9^$I$6,IF(A110&lt;=$B$6+$B$7,$H$6*$B$10^$I$6,$H$6*$B$11^$I$6)))</f>
        <v/>
      </c>
      <c r="D110" s="29">
        <f>IF(A110&gt;$B$5+$B$6+$B$7,0,IF(A110=1,0,$B$14))</f>
        <v/>
      </c>
      <c r="E110" s="29">
        <f>IF(A110&gt;$B$5+$B$6+$B$7,0,IF(A110&gt;$B$6+$B$7,-$B$14-$B$13/C110,IF(A110&gt;$B$6,-$B$14-$B$13*$B$15/C110,-$B$14-($B$13*$B$15+$B$12)/C110)))</f>
        <v/>
      </c>
      <c r="F110" s="29">
        <f>IF(A110&gt;$B$5+$B$6+$B$7,0,IF(A110+1&gt;$B$5+$B$6+$B$7,0,IF(A110&gt;$B$6+$B$7,$B$13/C111,IF(A110&gt;=$B$6,$B$13*$B$15/C111,($B$13*$B$15+$B$12)/C111))))</f>
        <v/>
      </c>
      <c r="G110" s="29">
        <f>IF(A110&gt;$B$5+$B$6+$B$7,0,IF(A110=$B$6,-$M$6*$B$12,0))</f>
        <v/>
      </c>
      <c r="H110" s="29">
        <f>IF(A110&gt;$B$5+$B$6+$B$7,0,F110/(E110-D110*H109))</f>
        <v/>
      </c>
      <c r="I110" s="29">
        <f>IF(A110&gt;$B$5+$B$6+$B$7,0,(G110-D110*I109)/(E110-D110*H109))</f>
        <v/>
      </c>
      <c r="J110" s="30">
        <f>IF(A110&gt;$B$5+$B$6+$B$7,0,I110-H110*J111)</f>
        <v/>
      </c>
      <c r="K110" s="29">
        <f>IF(A110&gt;$B$5+$B$6+$B$7,0,IF(A110&lt;=$B$6,$H$7*$B$9^$I$7,IF(A110&lt;=$B$6+$B$7,$H$7*$B$10^$I$7,$H$7*$B$11^$I$7)))</f>
        <v/>
      </c>
      <c r="L110" s="29">
        <f>IF(A110&gt;$B$5+$B$6+$B$7,0,IF(A110=1,0,$B$14))</f>
        <v/>
      </c>
      <c r="M110" s="29">
        <f>IF(A110&gt;$B$5+$B$6+$B$7,0,IF(A110&gt;$B$6+$B$7,-$B$14-$B$13/K110,IF(A110&gt;$B$6,-$B$14-$B$13*$B$15/K110,-$B$14-($B$13*$B$15+$B$12)/K110)))</f>
        <v/>
      </c>
      <c r="N110" s="29">
        <f>IF(A110&gt;$B$5+$B$6+$B$7,0,IF(A110+1&gt;$B$5+$B$6+$B$7,0,IF(A110&gt;$B$6+$B$7,$B$13/K111,IF(A110&gt;=$B$6,$B$13*$B$15/K111,($B$13*$B$15+$B$12)/K111))))</f>
        <v/>
      </c>
      <c r="O110" s="29">
        <f>IF(A110&gt;$B$5+$B$6+$B$7,0,IF(A110=$B$6,-$M$7*$B$12,0))</f>
        <v/>
      </c>
      <c r="P110" s="29">
        <f>IF(A110&gt;$B$5+$B$6+$B$7,0,N110/(M110-L110*P109))</f>
        <v/>
      </c>
      <c r="Q110" s="29">
        <f>IF(A110&gt;$B$5+$B$6+$B$7,0,(O110-L110*Q109)/(M110-L110*P109))</f>
        <v/>
      </c>
      <c r="R110" s="30">
        <f>IF(A110&gt;$B$5+$B$6+$B$7,0,Q110-P110*R111)</f>
        <v/>
      </c>
      <c r="S110" s="29">
        <f>IF(A110&gt;$B$5+$B$6+$B$7,0,IF(A110&lt;=$B$6,$H$8*$B$9^$I$8,IF(A110&lt;=$B$6+$B$7,$H$8*$B$10^$I$8,$H$8*$B$11^$I$8)))</f>
        <v/>
      </c>
      <c r="T110" s="29">
        <f>IF(A110&gt;$B$5+$B$6+$B$7,0,IF(A110=1,0,$B$14))</f>
        <v/>
      </c>
      <c r="U110" s="29">
        <f>IF(A110&gt;$B$5+$B$6+$B$7,0,IF(A110&gt;$B$6+$B$7,-$B$14-$B$13/S110,IF(A110&gt;$B$6,-$B$14-$B$13*$B$15/S110,-$B$14-($B$13*$B$15+$B$12)/S110)))</f>
        <v/>
      </c>
      <c r="V110" s="29">
        <f>IF(A110&gt;$B$5+$B$6+$B$7,0,IF(A110+1&gt;$B$5+$B$6+$B$7,0,IF(A110&gt;$B$6+$B$7,$B$13/S111,IF(A110&gt;=$B$6,$B$13*$B$15/S111,($B$13*$B$15+$B$12)/S111))))</f>
        <v/>
      </c>
      <c r="W110" s="29">
        <f>IF(A110&gt;$B$5+$B$6+$B$7,0,IF(A110=$B$6,-$M$8*$B$12,0))</f>
        <v/>
      </c>
      <c r="X110" s="29">
        <f>IF(A110&gt;$B$5+$B$6+$B$7,0,V110/(U110-T110*X109))</f>
        <v/>
      </c>
      <c r="Y110" s="29">
        <f>IF(A110&gt;$B$5+$B$6+$B$7,0,(W110-T110*Y109)/(U110-T110*X109))</f>
        <v/>
      </c>
      <c r="Z110" s="30">
        <f>IF(A110&gt;$B$5+$B$6+$B$7,0,Y110-X110*Z111)</f>
        <v/>
      </c>
      <c r="AA110" s="29">
        <f>IF(A110&gt;$B$5+$B$6+$B$7,0,IF(A110&lt;=$B$6,$H$9*$B$9^$I$9,IF(A110&lt;=$B$6+$B$7,$H$9*$B$10^$I$9,$H$9*$B$11^$I$9)))</f>
        <v/>
      </c>
      <c r="AB110" s="29">
        <f>IF(A110&gt;$B$5+$B$6+$B$7,0,IF(A110=1,0,$B$14))</f>
        <v/>
      </c>
      <c r="AC110" s="29">
        <f>IF(A110&gt;$B$5+$B$6+$B$7,0,IF(A110&gt;$B$6+$B$7,-$B$14-$B$13/AA110,IF(A110&gt;$B$6,-$B$14-$B$13*$B$15/AA110,-$B$14-($B$13*$B$15+$B$12)/AA110)))</f>
        <v/>
      </c>
      <c r="AD110" s="29">
        <f>IF(A110&gt;$B$5+$B$6+$B$7,0,IF(A110+1&gt;$B$5+$B$6+$B$7,0,IF(A110&gt;$B$6+$B$7,$B$13/AA111,IF(A110&gt;=$B$6,$B$13*$B$15/AA111,($B$13*$B$15+$B$12)/AA111))))</f>
        <v/>
      </c>
      <c r="AE110" s="29">
        <f>IF(A110&gt;$B$5+$B$6+$B$7,0,IF(A110=$B$6,-$M$9*$B$12,0))</f>
        <v/>
      </c>
      <c r="AF110" s="29">
        <f>IF(A110&gt;$B$5+$B$6+$B$7,0,AD110/(AC110-AB110*AF109))</f>
        <v/>
      </c>
      <c r="AG110" s="29">
        <f>IF(A110&gt;$B$5+$B$6+$B$7,0,(AE110-AB110*AG109)/(AC110-AB110*AF109))</f>
        <v/>
      </c>
      <c r="AH110" s="30">
        <f>IF(A110&gt;$B$5+$B$6+$B$7,0,AG110-AF110*AH111)</f>
        <v/>
      </c>
      <c r="AI110" s="31">
        <f>IF(A110&gt;$B$5+$B$6+$B$7,0,IF(C110&lt;&gt;0,J110/C110,0))</f>
        <v/>
      </c>
      <c r="AJ110" s="31">
        <f>IF(A110&gt;$B$5+$B$6+$B$7,0,IF(K110&lt;&gt;0,R110/K110,0))</f>
        <v/>
      </c>
      <c r="AK110" s="31">
        <f>IF(A110&gt;$B$5+$B$6+$B$7,0,IF(S110&lt;&gt;0,Z110/S110,0))</f>
        <v/>
      </c>
      <c r="AL110" s="31">
        <f>IF(A110&gt;$B$5+$B$6+$B$7,0,IF(AA110&lt;&gt;0,AH110/AA110,0))</f>
        <v/>
      </c>
      <c r="AM110" s="30">
        <f>J110+R110+Z110+AH110</f>
        <v/>
      </c>
      <c r="AN110" s="30">
        <f>AI110+AJ110+AK110+AL110</f>
        <v/>
      </c>
    </row>
    <row r="111">
      <c r="A111" s="27" t="n">
        <v>92</v>
      </c>
      <c r="B111" s="28">
        <f>IF(A111&gt;$B$5+$B$6+$B$7,"—",IF(A111&lt;=$B$6,"Extraction",IF(A111&lt;=$B$6+$B$7,"Scrub","Strip")))</f>
        <v/>
      </c>
      <c r="C111" s="29">
        <f>IF(A111&gt;$B$5+$B$6+$B$7,0,IF(A111&lt;=$B$6,$H$6*$B$9^$I$6,IF(A111&lt;=$B$6+$B$7,$H$6*$B$10^$I$6,$H$6*$B$11^$I$6)))</f>
        <v/>
      </c>
      <c r="D111" s="29">
        <f>IF(A111&gt;$B$5+$B$6+$B$7,0,IF(A111=1,0,$B$14))</f>
        <v/>
      </c>
      <c r="E111" s="29">
        <f>IF(A111&gt;$B$5+$B$6+$B$7,0,IF(A111&gt;$B$6+$B$7,-$B$14-$B$13/C111,IF(A111&gt;$B$6,-$B$14-$B$13*$B$15/C111,-$B$14-($B$13*$B$15+$B$12)/C111)))</f>
        <v/>
      </c>
      <c r="F111" s="29">
        <f>IF(A111&gt;$B$5+$B$6+$B$7,0,IF(A111+1&gt;$B$5+$B$6+$B$7,0,IF(A111&gt;$B$6+$B$7,$B$13/C112,IF(A111&gt;=$B$6,$B$13*$B$15/C112,($B$13*$B$15+$B$12)/C112))))</f>
        <v/>
      </c>
      <c r="G111" s="29">
        <f>IF(A111&gt;$B$5+$B$6+$B$7,0,IF(A111=$B$6,-$M$6*$B$12,0))</f>
        <v/>
      </c>
      <c r="H111" s="29">
        <f>IF(A111&gt;$B$5+$B$6+$B$7,0,F111/(E111-D111*H110))</f>
        <v/>
      </c>
      <c r="I111" s="29">
        <f>IF(A111&gt;$B$5+$B$6+$B$7,0,(G111-D111*I110)/(E111-D111*H110))</f>
        <v/>
      </c>
      <c r="J111" s="30">
        <f>IF(A111&gt;$B$5+$B$6+$B$7,0,I111-H111*J112)</f>
        <v/>
      </c>
      <c r="K111" s="29">
        <f>IF(A111&gt;$B$5+$B$6+$B$7,0,IF(A111&lt;=$B$6,$H$7*$B$9^$I$7,IF(A111&lt;=$B$6+$B$7,$H$7*$B$10^$I$7,$H$7*$B$11^$I$7)))</f>
        <v/>
      </c>
      <c r="L111" s="29">
        <f>IF(A111&gt;$B$5+$B$6+$B$7,0,IF(A111=1,0,$B$14))</f>
        <v/>
      </c>
      <c r="M111" s="29">
        <f>IF(A111&gt;$B$5+$B$6+$B$7,0,IF(A111&gt;$B$6+$B$7,-$B$14-$B$13/K111,IF(A111&gt;$B$6,-$B$14-$B$13*$B$15/K111,-$B$14-($B$13*$B$15+$B$12)/K111)))</f>
        <v/>
      </c>
      <c r="N111" s="29">
        <f>IF(A111&gt;$B$5+$B$6+$B$7,0,IF(A111+1&gt;$B$5+$B$6+$B$7,0,IF(A111&gt;$B$6+$B$7,$B$13/K112,IF(A111&gt;=$B$6,$B$13*$B$15/K112,($B$13*$B$15+$B$12)/K112))))</f>
        <v/>
      </c>
      <c r="O111" s="29">
        <f>IF(A111&gt;$B$5+$B$6+$B$7,0,IF(A111=$B$6,-$M$7*$B$12,0))</f>
        <v/>
      </c>
      <c r="P111" s="29">
        <f>IF(A111&gt;$B$5+$B$6+$B$7,0,N111/(M111-L111*P110))</f>
        <v/>
      </c>
      <c r="Q111" s="29">
        <f>IF(A111&gt;$B$5+$B$6+$B$7,0,(O111-L111*Q110)/(M111-L111*P110))</f>
        <v/>
      </c>
      <c r="R111" s="30">
        <f>IF(A111&gt;$B$5+$B$6+$B$7,0,Q111-P111*R112)</f>
        <v/>
      </c>
      <c r="S111" s="29">
        <f>IF(A111&gt;$B$5+$B$6+$B$7,0,IF(A111&lt;=$B$6,$H$8*$B$9^$I$8,IF(A111&lt;=$B$6+$B$7,$H$8*$B$10^$I$8,$H$8*$B$11^$I$8)))</f>
        <v/>
      </c>
      <c r="T111" s="29">
        <f>IF(A111&gt;$B$5+$B$6+$B$7,0,IF(A111=1,0,$B$14))</f>
        <v/>
      </c>
      <c r="U111" s="29">
        <f>IF(A111&gt;$B$5+$B$6+$B$7,0,IF(A111&gt;$B$6+$B$7,-$B$14-$B$13/S111,IF(A111&gt;$B$6,-$B$14-$B$13*$B$15/S111,-$B$14-($B$13*$B$15+$B$12)/S111)))</f>
        <v/>
      </c>
      <c r="V111" s="29">
        <f>IF(A111&gt;$B$5+$B$6+$B$7,0,IF(A111+1&gt;$B$5+$B$6+$B$7,0,IF(A111&gt;$B$6+$B$7,$B$13/S112,IF(A111&gt;=$B$6,$B$13*$B$15/S112,($B$13*$B$15+$B$12)/S112))))</f>
        <v/>
      </c>
      <c r="W111" s="29">
        <f>IF(A111&gt;$B$5+$B$6+$B$7,0,IF(A111=$B$6,-$M$8*$B$12,0))</f>
        <v/>
      </c>
      <c r="X111" s="29">
        <f>IF(A111&gt;$B$5+$B$6+$B$7,0,V111/(U111-T111*X110))</f>
        <v/>
      </c>
      <c r="Y111" s="29">
        <f>IF(A111&gt;$B$5+$B$6+$B$7,0,(W111-T111*Y110)/(U111-T111*X110))</f>
        <v/>
      </c>
      <c r="Z111" s="30">
        <f>IF(A111&gt;$B$5+$B$6+$B$7,0,Y111-X111*Z112)</f>
        <v/>
      </c>
      <c r="AA111" s="29">
        <f>IF(A111&gt;$B$5+$B$6+$B$7,0,IF(A111&lt;=$B$6,$H$9*$B$9^$I$9,IF(A111&lt;=$B$6+$B$7,$H$9*$B$10^$I$9,$H$9*$B$11^$I$9)))</f>
        <v/>
      </c>
      <c r="AB111" s="29">
        <f>IF(A111&gt;$B$5+$B$6+$B$7,0,IF(A111=1,0,$B$14))</f>
        <v/>
      </c>
      <c r="AC111" s="29">
        <f>IF(A111&gt;$B$5+$B$6+$B$7,0,IF(A111&gt;$B$6+$B$7,-$B$14-$B$13/AA111,IF(A111&gt;$B$6,-$B$14-$B$13*$B$15/AA111,-$B$14-($B$13*$B$15+$B$12)/AA111)))</f>
        <v/>
      </c>
      <c r="AD111" s="29">
        <f>IF(A111&gt;$B$5+$B$6+$B$7,0,IF(A111+1&gt;$B$5+$B$6+$B$7,0,IF(A111&gt;$B$6+$B$7,$B$13/AA112,IF(A111&gt;=$B$6,$B$13*$B$15/AA112,($B$13*$B$15+$B$12)/AA112))))</f>
        <v/>
      </c>
      <c r="AE111" s="29">
        <f>IF(A111&gt;$B$5+$B$6+$B$7,0,IF(A111=$B$6,-$M$9*$B$12,0))</f>
        <v/>
      </c>
      <c r="AF111" s="29">
        <f>IF(A111&gt;$B$5+$B$6+$B$7,0,AD111/(AC111-AB111*AF110))</f>
        <v/>
      </c>
      <c r="AG111" s="29">
        <f>IF(A111&gt;$B$5+$B$6+$B$7,0,(AE111-AB111*AG110)/(AC111-AB111*AF110))</f>
        <v/>
      </c>
      <c r="AH111" s="30">
        <f>IF(A111&gt;$B$5+$B$6+$B$7,0,AG111-AF111*AH112)</f>
        <v/>
      </c>
      <c r="AI111" s="31">
        <f>IF(A111&gt;$B$5+$B$6+$B$7,0,IF(C111&lt;&gt;0,J111/C111,0))</f>
        <v/>
      </c>
      <c r="AJ111" s="31">
        <f>IF(A111&gt;$B$5+$B$6+$B$7,0,IF(K111&lt;&gt;0,R111/K111,0))</f>
        <v/>
      </c>
      <c r="AK111" s="31">
        <f>IF(A111&gt;$B$5+$B$6+$B$7,0,IF(S111&lt;&gt;0,Z111/S111,0))</f>
        <v/>
      </c>
      <c r="AL111" s="31">
        <f>IF(A111&gt;$B$5+$B$6+$B$7,0,IF(AA111&lt;&gt;0,AH111/AA111,0))</f>
        <v/>
      </c>
      <c r="AM111" s="30">
        <f>J111+R111+Z111+AH111</f>
        <v/>
      </c>
      <c r="AN111" s="30">
        <f>AI111+AJ111+AK111+AL111</f>
        <v/>
      </c>
    </row>
    <row r="112">
      <c r="A112" s="27" t="n">
        <v>93</v>
      </c>
      <c r="B112" s="28">
        <f>IF(A112&gt;$B$5+$B$6+$B$7,"—",IF(A112&lt;=$B$6,"Extraction",IF(A112&lt;=$B$6+$B$7,"Scrub","Strip")))</f>
        <v/>
      </c>
      <c r="C112" s="29">
        <f>IF(A112&gt;$B$5+$B$6+$B$7,0,IF(A112&lt;=$B$6,$H$6*$B$9^$I$6,IF(A112&lt;=$B$6+$B$7,$H$6*$B$10^$I$6,$H$6*$B$11^$I$6)))</f>
        <v/>
      </c>
      <c r="D112" s="29">
        <f>IF(A112&gt;$B$5+$B$6+$B$7,0,IF(A112=1,0,$B$14))</f>
        <v/>
      </c>
      <c r="E112" s="29">
        <f>IF(A112&gt;$B$5+$B$6+$B$7,0,IF(A112&gt;$B$6+$B$7,-$B$14-$B$13/C112,IF(A112&gt;$B$6,-$B$14-$B$13*$B$15/C112,-$B$14-($B$13*$B$15+$B$12)/C112)))</f>
        <v/>
      </c>
      <c r="F112" s="29">
        <f>IF(A112&gt;$B$5+$B$6+$B$7,0,IF(A112+1&gt;$B$5+$B$6+$B$7,0,IF(A112&gt;$B$6+$B$7,$B$13/C113,IF(A112&gt;=$B$6,$B$13*$B$15/C113,($B$13*$B$15+$B$12)/C113))))</f>
        <v/>
      </c>
      <c r="G112" s="29">
        <f>IF(A112&gt;$B$5+$B$6+$B$7,0,IF(A112=$B$6,-$M$6*$B$12,0))</f>
        <v/>
      </c>
      <c r="H112" s="29">
        <f>IF(A112&gt;$B$5+$B$6+$B$7,0,F112/(E112-D112*H111))</f>
        <v/>
      </c>
      <c r="I112" s="29">
        <f>IF(A112&gt;$B$5+$B$6+$B$7,0,(G112-D112*I111)/(E112-D112*H111))</f>
        <v/>
      </c>
      <c r="J112" s="30">
        <f>IF(A112&gt;$B$5+$B$6+$B$7,0,I112-H112*J113)</f>
        <v/>
      </c>
      <c r="K112" s="29">
        <f>IF(A112&gt;$B$5+$B$6+$B$7,0,IF(A112&lt;=$B$6,$H$7*$B$9^$I$7,IF(A112&lt;=$B$6+$B$7,$H$7*$B$10^$I$7,$H$7*$B$11^$I$7)))</f>
        <v/>
      </c>
      <c r="L112" s="29">
        <f>IF(A112&gt;$B$5+$B$6+$B$7,0,IF(A112=1,0,$B$14))</f>
        <v/>
      </c>
      <c r="M112" s="29">
        <f>IF(A112&gt;$B$5+$B$6+$B$7,0,IF(A112&gt;$B$6+$B$7,-$B$14-$B$13/K112,IF(A112&gt;$B$6,-$B$14-$B$13*$B$15/K112,-$B$14-($B$13*$B$15+$B$12)/K112)))</f>
        <v/>
      </c>
      <c r="N112" s="29">
        <f>IF(A112&gt;$B$5+$B$6+$B$7,0,IF(A112+1&gt;$B$5+$B$6+$B$7,0,IF(A112&gt;$B$6+$B$7,$B$13/K113,IF(A112&gt;=$B$6,$B$13*$B$15/K113,($B$13*$B$15+$B$12)/K113))))</f>
        <v/>
      </c>
      <c r="O112" s="29">
        <f>IF(A112&gt;$B$5+$B$6+$B$7,0,IF(A112=$B$6,-$M$7*$B$12,0))</f>
        <v/>
      </c>
      <c r="P112" s="29">
        <f>IF(A112&gt;$B$5+$B$6+$B$7,0,N112/(M112-L112*P111))</f>
        <v/>
      </c>
      <c r="Q112" s="29">
        <f>IF(A112&gt;$B$5+$B$6+$B$7,0,(O112-L112*Q111)/(M112-L112*P111))</f>
        <v/>
      </c>
      <c r="R112" s="30">
        <f>IF(A112&gt;$B$5+$B$6+$B$7,0,Q112-P112*R113)</f>
        <v/>
      </c>
      <c r="S112" s="29">
        <f>IF(A112&gt;$B$5+$B$6+$B$7,0,IF(A112&lt;=$B$6,$H$8*$B$9^$I$8,IF(A112&lt;=$B$6+$B$7,$H$8*$B$10^$I$8,$H$8*$B$11^$I$8)))</f>
        <v/>
      </c>
      <c r="T112" s="29">
        <f>IF(A112&gt;$B$5+$B$6+$B$7,0,IF(A112=1,0,$B$14))</f>
        <v/>
      </c>
      <c r="U112" s="29">
        <f>IF(A112&gt;$B$5+$B$6+$B$7,0,IF(A112&gt;$B$6+$B$7,-$B$14-$B$13/S112,IF(A112&gt;$B$6,-$B$14-$B$13*$B$15/S112,-$B$14-($B$13*$B$15+$B$12)/S112)))</f>
        <v/>
      </c>
      <c r="V112" s="29">
        <f>IF(A112&gt;$B$5+$B$6+$B$7,0,IF(A112+1&gt;$B$5+$B$6+$B$7,0,IF(A112&gt;$B$6+$B$7,$B$13/S113,IF(A112&gt;=$B$6,$B$13*$B$15/S113,($B$13*$B$15+$B$12)/S113))))</f>
        <v/>
      </c>
      <c r="W112" s="29">
        <f>IF(A112&gt;$B$5+$B$6+$B$7,0,IF(A112=$B$6,-$M$8*$B$12,0))</f>
        <v/>
      </c>
      <c r="X112" s="29">
        <f>IF(A112&gt;$B$5+$B$6+$B$7,0,V112/(U112-T112*X111))</f>
        <v/>
      </c>
      <c r="Y112" s="29">
        <f>IF(A112&gt;$B$5+$B$6+$B$7,0,(W112-T112*Y111)/(U112-T112*X111))</f>
        <v/>
      </c>
      <c r="Z112" s="30">
        <f>IF(A112&gt;$B$5+$B$6+$B$7,0,Y112-X112*Z113)</f>
        <v/>
      </c>
      <c r="AA112" s="29">
        <f>IF(A112&gt;$B$5+$B$6+$B$7,0,IF(A112&lt;=$B$6,$H$9*$B$9^$I$9,IF(A112&lt;=$B$6+$B$7,$H$9*$B$10^$I$9,$H$9*$B$11^$I$9)))</f>
        <v/>
      </c>
      <c r="AB112" s="29">
        <f>IF(A112&gt;$B$5+$B$6+$B$7,0,IF(A112=1,0,$B$14))</f>
        <v/>
      </c>
      <c r="AC112" s="29">
        <f>IF(A112&gt;$B$5+$B$6+$B$7,0,IF(A112&gt;$B$6+$B$7,-$B$14-$B$13/AA112,IF(A112&gt;$B$6,-$B$14-$B$13*$B$15/AA112,-$B$14-($B$13*$B$15+$B$12)/AA112)))</f>
        <v/>
      </c>
      <c r="AD112" s="29">
        <f>IF(A112&gt;$B$5+$B$6+$B$7,0,IF(A112+1&gt;$B$5+$B$6+$B$7,0,IF(A112&gt;$B$6+$B$7,$B$13/AA113,IF(A112&gt;=$B$6,$B$13*$B$15/AA113,($B$13*$B$15+$B$12)/AA113))))</f>
        <v/>
      </c>
      <c r="AE112" s="29">
        <f>IF(A112&gt;$B$5+$B$6+$B$7,0,IF(A112=$B$6,-$M$9*$B$12,0))</f>
        <v/>
      </c>
      <c r="AF112" s="29">
        <f>IF(A112&gt;$B$5+$B$6+$B$7,0,AD112/(AC112-AB112*AF111))</f>
        <v/>
      </c>
      <c r="AG112" s="29">
        <f>IF(A112&gt;$B$5+$B$6+$B$7,0,(AE112-AB112*AG111)/(AC112-AB112*AF111))</f>
        <v/>
      </c>
      <c r="AH112" s="30">
        <f>IF(A112&gt;$B$5+$B$6+$B$7,0,AG112-AF112*AH113)</f>
        <v/>
      </c>
      <c r="AI112" s="31">
        <f>IF(A112&gt;$B$5+$B$6+$B$7,0,IF(C112&lt;&gt;0,J112/C112,0))</f>
        <v/>
      </c>
      <c r="AJ112" s="31">
        <f>IF(A112&gt;$B$5+$B$6+$B$7,0,IF(K112&lt;&gt;0,R112/K112,0))</f>
        <v/>
      </c>
      <c r="AK112" s="31">
        <f>IF(A112&gt;$B$5+$B$6+$B$7,0,IF(S112&lt;&gt;0,Z112/S112,0))</f>
        <v/>
      </c>
      <c r="AL112" s="31">
        <f>IF(A112&gt;$B$5+$B$6+$B$7,0,IF(AA112&lt;&gt;0,AH112/AA112,0))</f>
        <v/>
      </c>
      <c r="AM112" s="30">
        <f>J112+R112+Z112+AH112</f>
        <v/>
      </c>
      <c r="AN112" s="30">
        <f>AI112+AJ112+AK112+AL112</f>
        <v/>
      </c>
    </row>
    <row r="113">
      <c r="A113" s="27" t="n">
        <v>94</v>
      </c>
      <c r="B113" s="28">
        <f>IF(A113&gt;$B$5+$B$6+$B$7,"—",IF(A113&lt;=$B$6,"Extraction",IF(A113&lt;=$B$6+$B$7,"Scrub","Strip")))</f>
        <v/>
      </c>
      <c r="C113" s="29">
        <f>IF(A113&gt;$B$5+$B$6+$B$7,0,IF(A113&lt;=$B$6,$H$6*$B$9^$I$6,IF(A113&lt;=$B$6+$B$7,$H$6*$B$10^$I$6,$H$6*$B$11^$I$6)))</f>
        <v/>
      </c>
      <c r="D113" s="29">
        <f>IF(A113&gt;$B$5+$B$6+$B$7,0,IF(A113=1,0,$B$14))</f>
        <v/>
      </c>
      <c r="E113" s="29">
        <f>IF(A113&gt;$B$5+$B$6+$B$7,0,IF(A113&gt;$B$6+$B$7,-$B$14-$B$13/C113,IF(A113&gt;$B$6,-$B$14-$B$13*$B$15/C113,-$B$14-($B$13*$B$15+$B$12)/C113)))</f>
        <v/>
      </c>
      <c r="F113" s="29">
        <f>IF(A113&gt;$B$5+$B$6+$B$7,0,IF(A113+1&gt;$B$5+$B$6+$B$7,0,IF(A113&gt;$B$6+$B$7,$B$13/C114,IF(A113&gt;=$B$6,$B$13*$B$15/C114,($B$13*$B$15+$B$12)/C114))))</f>
        <v/>
      </c>
      <c r="G113" s="29">
        <f>IF(A113&gt;$B$5+$B$6+$B$7,0,IF(A113=$B$6,-$M$6*$B$12,0))</f>
        <v/>
      </c>
      <c r="H113" s="29">
        <f>IF(A113&gt;$B$5+$B$6+$B$7,0,F113/(E113-D113*H112))</f>
        <v/>
      </c>
      <c r="I113" s="29">
        <f>IF(A113&gt;$B$5+$B$6+$B$7,0,(G113-D113*I112)/(E113-D113*H112))</f>
        <v/>
      </c>
      <c r="J113" s="30">
        <f>IF(A113&gt;$B$5+$B$6+$B$7,0,I113-H113*J114)</f>
        <v/>
      </c>
      <c r="K113" s="29">
        <f>IF(A113&gt;$B$5+$B$6+$B$7,0,IF(A113&lt;=$B$6,$H$7*$B$9^$I$7,IF(A113&lt;=$B$6+$B$7,$H$7*$B$10^$I$7,$H$7*$B$11^$I$7)))</f>
        <v/>
      </c>
      <c r="L113" s="29">
        <f>IF(A113&gt;$B$5+$B$6+$B$7,0,IF(A113=1,0,$B$14))</f>
        <v/>
      </c>
      <c r="M113" s="29">
        <f>IF(A113&gt;$B$5+$B$6+$B$7,0,IF(A113&gt;$B$6+$B$7,-$B$14-$B$13/K113,IF(A113&gt;$B$6,-$B$14-$B$13*$B$15/K113,-$B$14-($B$13*$B$15+$B$12)/K113)))</f>
        <v/>
      </c>
      <c r="N113" s="29">
        <f>IF(A113&gt;$B$5+$B$6+$B$7,0,IF(A113+1&gt;$B$5+$B$6+$B$7,0,IF(A113&gt;$B$6+$B$7,$B$13/K114,IF(A113&gt;=$B$6,$B$13*$B$15/K114,($B$13*$B$15+$B$12)/K114))))</f>
        <v/>
      </c>
      <c r="O113" s="29">
        <f>IF(A113&gt;$B$5+$B$6+$B$7,0,IF(A113=$B$6,-$M$7*$B$12,0))</f>
        <v/>
      </c>
      <c r="P113" s="29">
        <f>IF(A113&gt;$B$5+$B$6+$B$7,0,N113/(M113-L113*P112))</f>
        <v/>
      </c>
      <c r="Q113" s="29">
        <f>IF(A113&gt;$B$5+$B$6+$B$7,0,(O113-L113*Q112)/(M113-L113*P112))</f>
        <v/>
      </c>
      <c r="R113" s="30">
        <f>IF(A113&gt;$B$5+$B$6+$B$7,0,Q113-P113*R114)</f>
        <v/>
      </c>
      <c r="S113" s="29">
        <f>IF(A113&gt;$B$5+$B$6+$B$7,0,IF(A113&lt;=$B$6,$H$8*$B$9^$I$8,IF(A113&lt;=$B$6+$B$7,$H$8*$B$10^$I$8,$H$8*$B$11^$I$8)))</f>
        <v/>
      </c>
      <c r="T113" s="29">
        <f>IF(A113&gt;$B$5+$B$6+$B$7,0,IF(A113=1,0,$B$14))</f>
        <v/>
      </c>
      <c r="U113" s="29">
        <f>IF(A113&gt;$B$5+$B$6+$B$7,0,IF(A113&gt;$B$6+$B$7,-$B$14-$B$13/S113,IF(A113&gt;$B$6,-$B$14-$B$13*$B$15/S113,-$B$14-($B$13*$B$15+$B$12)/S113)))</f>
        <v/>
      </c>
      <c r="V113" s="29">
        <f>IF(A113&gt;$B$5+$B$6+$B$7,0,IF(A113+1&gt;$B$5+$B$6+$B$7,0,IF(A113&gt;$B$6+$B$7,$B$13/S114,IF(A113&gt;=$B$6,$B$13*$B$15/S114,($B$13*$B$15+$B$12)/S114))))</f>
        <v/>
      </c>
      <c r="W113" s="29">
        <f>IF(A113&gt;$B$5+$B$6+$B$7,0,IF(A113=$B$6,-$M$8*$B$12,0))</f>
        <v/>
      </c>
      <c r="X113" s="29">
        <f>IF(A113&gt;$B$5+$B$6+$B$7,0,V113/(U113-T113*X112))</f>
        <v/>
      </c>
      <c r="Y113" s="29">
        <f>IF(A113&gt;$B$5+$B$6+$B$7,0,(W113-T113*Y112)/(U113-T113*X112))</f>
        <v/>
      </c>
      <c r="Z113" s="30">
        <f>IF(A113&gt;$B$5+$B$6+$B$7,0,Y113-X113*Z114)</f>
        <v/>
      </c>
      <c r="AA113" s="29">
        <f>IF(A113&gt;$B$5+$B$6+$B$7,0,IF(A113&lt;=$B$6,$H$9*$B$9^$I$9,IF(A113&lt;=$B$6+$B$7,$H$9*$B$10^$I$9,$H$9*$B$11^$I$9)))</f>
        <v/>
      </c>
      <c r="AB113" s="29">
        <f>IF(A113&gt;$B$5+$B$6+$B$7,0,IF(A113=1,0,$B$14))</f>
        <v/>
      </c>
      <c r="AC113" s="29">
        <f>IF(A113&gt;$B$5+$B$6+$B$7,0,IF(A113&gt;$B$6+$B$7,-$B$14-$B$13/AA113,IF(A113&gt;$B$6,-$B$14-$B$13*$B$15/AA113,-$B$14-($B$13*$B$15+$B$12)/AA113)))</f>
        <v/>
      </c>
      <c r="AD113" s="29">
        <f>IF(A113&gt;$B$5+$B$6+$B$7,0,IF(A113+1&gt;$B$5+$B$6+$B$7,0,IF(A113&gt;$B$6+$B$7,$B$13/AA114,IF(A113&gt;=$B$6,$B$13*$B$15/AA114,($B$13*$B$15+$B$12)/AA114))))</f>
        <v/>
      </c>
      <c r="AE113" s="29">
        <f>IF(A113&gt;$B$5+$B$6+$B$7,0,IF(A113=$B$6,-$M$9*$B$12,0))</f>
        <v/>
      </c>
      <c r="AF113" s="29">
        <f>IF(A113&gt;$B$5+$B$6+$B$7,0,AD113/(AC113-AB113*AF112))</f>
        <v/>
      </c>
      <c r="AG113" s="29">
        <f>IF(A113&gt;$B$5+$B$6+$B$7,0,(AE113-AB113*AG112)/(AC113-AB113*AF112))</f>
        <v/>
      </c>
      <c r="AH113" s="30">
        <f>IF(A113&gt;$B$5+$B$6+$B$7,0,AG113-AF113*AH114)</f>
        <v/>
      </c>
      <c r="AI113" s="31">
        <f>IF(A113&gt;$B$5+$B$6+$B$7,0,IF(C113&lt;&gt;0,J113/C113,0))</f>
        <v/>
      </c>
      <c r="AJ113" s="31">
        <f>IF(A113&gt;$B$5+$B$6+$B$7,0,IF(K113&lt;&gt;0,R113/K113,0))</f>
        <v/>
      </c>
      <c r="AK113" s="31">
        <f>IF(A113&gt;$B$5+$B$6+$B$7,0,IF(S113&lt;&gt;0,Z113/S113,0))</f>
        <v/>
      </c>
      <c r="AL113" s="31">
        <f>IF(A113&gt;$B$5+$B$6+$B$7,0,IF(AA113&lt;&gt;0,AH113/AA113,0))</f>
        <v/>
      </c>
      <c r="AM113" s="30">
        <f>J113+R113+Z113+AH113</f>
        <v/>
      </c>
      <c r="AN113" s="30">
        <f>AI113+AJ113+AK113+AL113</f>
        <v/>
      </c>
    </row>
    <row r="114">
      <c r="A114" s="27" t="n">
        <v>95</v>
      </c>
      <c r="B114" s="28">
        <f>IF(A114&gt;$B$5+$B$6+$B$7,"—",IF(A114&lt;=$B$6,"Extraction",IF(A114&lt;=$B$6+$B$7,"Scrub","Strip")))</f>
        <v/>
      </c>
      <c r="C114" s="29">
        <f>IF(A114&gt;$B$5+$B$6+$B$7,0,IF(A114&lt;=$B$6,$H$6*$B$9^$I$6,IF(A114&lt;=$B$6+$B$7,$H$6*$B$10^$I$6,$H$6*$B$11^$I$6)))</f>
        <v/>
      </c>
      <c r="D114" s="29">
        <f>IF(A114&gt;$B$5+$B$6+$B$7,0,IF(A114=1,0,$B$14))</f>
        <v/>
      </c>
      <c r="E114" s="29">
        <f>IF(A114&gt;$B$5+$B$6+$B$7,0,IF(A114&gt;$B$6+$B$7,-$B$14-$B$13/C114,IF(A114&gt;$B$6,-$B$14-$B$13*$B$15/C114,-$B$14-($B$13*$B$15+$B$12)/C114)))</f>
        <v/>
      </c>
      <c r="F114" s="29">
        <f>IF(A114&gt;$B$5+$B$6+$B$7,0,IF(A114+1&gt;$B$5+$B$6+$B$7,0,IF(A114&gt;$B$6+$B$7,$B$13/C115,IF(A114&gt;=$B$6,$B$13*$B$15/C115,($B$13*$B$15+$B$12)/C115))))</f>
        <v/>
      </c>
      <c r="G114" s="29">
        <f>IF(A114&gt;$B$5+$B$6+$B$7,0,IF(A114=$B$6,-$M$6*$B$12,0))</f>
        <v/>
      </c>
      <c r="H114" s="29">
        <f>IF(A114&gt;$B$5+$B$6+$B$7,0,F114/(E114-D114*H113))</f>
        <v/>
      </c>
      <c r="I114" s="29">
        <f>IF(A114&gt;$B$5+$B$6+$B$7,0,(G114-D114*I113)/(E114-D114*H113))</f>
        <v/>
      </c>
      <c r="J114" s="30">
        <f>IF(A114&gt;$B$5+$B$6+$B$7,0,I114-H114*J115)</f>
        <v/>
      </c>
      <c r="K114" s="29">
        <f>IF(A114&gt;$B$5+$B$6+$B$7,0,IF(A114&lt;=$B$6,$H$7*$B$9^$I$7,IF(A114&lt;=$B$6+$B$7,$H$7*$B$10^$I$7,$H$7*$B$11^$I$7)))</f>
        <v/>
      </c>
      <c r="L114" s="29">
        <f>IF(A114&gt;$B$5+$B$6+$B$7,0,IF(A114=1,0,$B$14))</f>
        <v/>
      </c>
      <c r="M114" s="29">
        <f>IF(A114&gt;$B$5+$B$6+$B$7,0,IF(A114&gt;$B$6+$B$7,-$B$14-$B$13/K114,IF(A114&gt;$B$6,-$B$14-$B$13*$B$15/K114,-$B$14-($B$13*$B$15+$B$12)/K114)))</f>
        <v/>
      </c>
      <c r="N114" s="29">
        <f>IF(A114&gt;$B$5+$B$6+$B$7,0,IF(A114+1&gt;$B$5+$B$6+$B$7,0,IF(A114&gt;$B$6+$B$7,$B$13/K115,IF(A114&gt;=$B$6,$B$13*$B$15/K115,($B$13*$B$15+$B$12)/K115))))</f>
        <v/>
      </c>
      <c r="O114" s="29">
        <f>IF(A114&gt;$B$5+$B$6+$B$7,0,IF(A114=$B$6,-$M$7*$B$12,0))</f>
        <v/>
      </c>
      <c r="P114" s="29">
        <f>IF(A114&gt;$B$5+$B$6+$B$7,0,N114/(M114-L114*P113))</f>
        <v/>
      </c>
      <c r="Q114" s="29">
        <f>IF(A114&gt;$B$5+$B$6+$B$7,0,(O114-L114*Q113)/(M114-L114*P113))</f>
        <v/>
      </c>
      <c r="R114" s="30">
        <f>IF(A114&gt;$B$5+$B$6+$B$7,0,Q114-P114*R115)</f>
        <v/>
      </c>
      <c r="S114" s="29">
        <f>IF(A114&gt;$B$5+$B$6+$B$7,0,IF(A114&lt;=$B$6,$H$8*$B$9^$I$8,IF(A114&lt;=$B$6+$B$7,$H$8*$B$10^$I$8,$H$8*$B$11^$I$8)))</f>
        <v/>
      </c>
      <c r="T114" s="29">
        <f>IF(A114&gt;$B$5+$B$6+$B$7,0,IF(A114=1,0,$B$14))</f>
        <v/>
      </c>
      <c r="U114" s="29">
        <f>IF(A114&gt;$B$5+$B$6+$B$7,0,IF(A114&gt;$B$6+$B$7,-$B$14-$B$13/S114,IF(A114&gt;$B$6,-$B$14-$B$13*$B$15/S114,-$B$14-($B$13*$B$15+$B$12)/S114)))</f>
        <v/>
      </c>
      <c r="V114" s="29">
        <f>IF(A114&gt;$B$5+$B$6+$B$7,0,IF(A114+1&gt;$B$5+$B$6+$B$7,0,IF(A114&gt;$B$6+$B$7,$B$13/S115,IF(A114&gt;=$B$6,$B$13*$B$15/S115,($B$13*$B$15+$B$12)/S115))))</f>
        <v/>
      </c>
      <c r="W114" s="29">
        <f>IF(A114&gt;$B$5+$B$6+$B$7,0,IF(A114=$B$6,-$M$8*$B$12,0))</f>
        <v/>
      </c>
      <c r="X114" s="29">
        <f>IF(A114&gt;$B$5+$B$6+$B$7,0,V114/(U114-T114*X113))</f>
        <v/>
      </c>
      <c r="Y114" s="29">
        <f>IF(A114&gt;$B$5+$B$6+$B$7,0,(W114-T114*Y113)/(U114-T114*X113))</f>
        <v/>
      </c>
      <c r="Z114" s="30">
        <f>IF(A114&gt;$B$5+$B$6+$B$7,0,Y114-X114*Z115)</f>
        <v/>
      </c>
      <c r="AA114" s="29">
        <f>IF(A114&gt;$B$5+$B$6+$B$7,0,IF(A114&lt;=$B$6,$H$9*$B$9^$I$9,IF(A114&lt;=$B$6+$B$7,$H$9*$B$10^$I$9,$H$9*$B$11^$I$9)))</f>
        <v/>
      </c>
      <c r="AB114" s="29">
        <f>IF(A114&gt;$B$5+$B$6+$B$7,0,IF(A114=1,0,$B$14))</f>
        <v/>
      </c>
      <c r="AC114" s="29">
        <f>IF(A114&gt;$B$5+$B$6+$B$7,0,IF(A114&gt;$B$6+$B$7,-$B$14-$B$13/AA114,IF(A114&gt;$B$6,-$B$14-$B$13*$B$15/AA114,-$B$14-($B$13*$B$15+$B$12)/AA114)))</f>
        <v/>
      </c>
      <c r="AD114" s="29">
        <f>IF(A114&gt;$B$5+$B$6+$B$7,0,IF(A114+1&gt;$B$5+$B$6+$B$7,0,IF(A114&gt;$B$6+$B$7,$B$13/AA115,IF(A114&gt;=$B$6,$B$13*$B$15/AA115,($B$13*$B$15+$B$12)/AA115))))</f>
        <v/>
      </c>
      <c r="AE114" s="29">
        <f>IF(A114&gt;$B$5+$B$6+$B$7,0,IF(A114=$B$6,-$M$9*$B$12,0))</f>
        <v/>
      </c>
      <c r="AF114" s="29">
        <f>IF(A114&gt;$B$5+$B$6+$B$7,0,AD114/(AC114-AB114*AF113))</f>
        <v/>
      </c>
      <c r="AG114" s="29">
        <f>IF(A114&gt;$B$5+$B$6+$B$7,0,(AE114-AB114*AG113)/(AC114-AB114*AF113))</f>
        <v/>
      </c>
      <c r="AH114" s="30">
        <f>IF(A114&gt;$B$5+$B$6+$B$7,0,AG114-AF114*AH115)</f>
        <v/>
      </c>
      <c r="AI114" s="31">
        <f>IF(A114&gt;$B$5+$B$6+$B$7,0,IF(C114&lt;&gt;0,J114/C114,0))</f>
        <v/>
      </c>
      <c r="AJ114" s="31">
        <f>IF(A114&gt;$B$5+$B$6+$B$7,0,IF(K114&lt;&gt;0,R114/K114,0))</f>
        <v/>
      </c>
      <c r="AK114" s="31">
        <f>IF(A114&gt;$B$5+$B$6+$B$7,0,IF(S114&lt;&gt;0,Z114/S114,0))</f>
        <v/>
      </c>
      <c r="AL114" s="31">
        <f>IF(A114&gt;$B$5+$B$6+$B$7,0,IF(AA114&lt;&gt;0,AH114/AA114,0))</f>
        <v/>
      </c>
      <c r="AM114" s="30">
        <f>J114+R114+Z114+AH114</f>
        <v/>
      </c>
      <c r="AN114" s="30">
        <f>AI114+AJ114+AK114+AL114</f>
        <v/>
      </c>
    </row>
    <row r="115">
      <c r="A115" s="27" t="n">
        <v>96</v>
      </c>
      <c r="B115" s="28">
        <f>IF(A115&gt;$B$5+$B$6+$B$7,"—",IF(A115&lt;=$B$6,"Extraction",IF(A115&lt;=$B$6+$B$7,"Scrub","Strip")))</f>
        <v/>
      </c>
      <c r="C115" s="29">
        <f>IF(A115&gt;$B$5+$B$6+$B$7,0,IF(A115&lt;=$B$6,$H$6*$B$9^$I$6,IF(A115&lt;=$B$6+$B$7,$H$6*$B$10^$I$6,$H$6*$B$11^$I$6)))</f>
        <v/>
      </c>
      <c r="D115" s="29">
        <f>IF(A115&gt;$B$5+$B$6+$B$7,0,IF(A115=1,0,$B$14))</f>
        <v/>
      </c>
      <c r="E115" s="29">
        <f>IF(A115&gt;$B$5+$B$6+$B$7,0,IF(A115&gt;$B$6+$B$7,-$B$14-$B$13/C115,IF(A115&gt;$B$6,-$B$14-$B$13*$B$15/C115,-$B$14-($B$13*$B$15+$B$12)/C115)))</f>
        <v/>
      </c>
      <c r="F115" s="29">
        <f>IF(A115&gt;$B$5+$B$6+$B$7,0,IF(A115+1&gt;$B$5+$B$6+$B$7,0,IF(A115&gt;$B$6+$B$7,$B$13/C116,IF(A115&gt;=$B$6,$B$13*$B$15/C116,($B$13*$B$15+$B$12)/C116))))</f>
        <v/>
      </c>
      <c r="G115" s="29">
        <f>IF(A115&gt;$B$5+$B$6+$B$7,0,IF(A115=$B$6,-$M$6*$B$12,0))</f>
        <v/>
      </c>
      <c r="H115" s="29">
        <f>IF(A115&gt;$B$5+$B$6+$B$7,0,F115/(E115-D115*H114))</f>
        <v/>
      </c>
      <c r="I115" s="29">
        <f>IF(A115&gt;$B$5+$B$6+$B$7,0,(G115-D115*I114)/(E115-D115*H114))</f>
        <v/>
      </c>
      <c r="J115" s="30">
        <f>IF(A115&gt;$B$5+$B$6+$B$7,0,I115-H115*J116)</f>
        <v/>
      </c>
      <c r="K115" s="29">
        <f>IF(A115&gt;$B$5+$B$6+$B$7,0,IF(A115&lt;=$B$6,$H$7*$B$9^$I$7,IF(A115&lt;=$B$6+$B$7,$H$7*$B$10^$I$7,$H$7*$B$11^$I$7)))</f>
        <v/>
      </c>
      <c r="L115" s="29">
        <f>IF(A115&gt;$B$5+$B$6+$B$7,0,IF(A115=1,0,$B$14))</f>
        <v/>
      </c>
      <c r="M115" s="29">
        <f>IF(A115&gt;$B$5+$B$6+$B$7,0,IF(A115&gt;$B$6+$B$7,-$B$14-$B$13/K115,IF(A115&gt;$B$6,-$B$14-$B$13*$B$15/K115,-$B$14-($B$13*$B$15+$B$12)/K115)))</f>
        <v/>
      </c>
      <c r="N115" s="29">
        <f>IF(A115&gt;$B$5+$B$6+$B$7,0,IF(A115+1&gt;$B$5+$B$6+$B$7,0,IF(A115&gt;$B$6+$B$7,$B$13/K116,IF(A115&gt;=$B$6,$B$13*$B$15/K116,($B$13*$B$15+$B$12)/K116))))</f>
        <v/>
      </c>
      <c r="O115" s="29">
        <f>IF(A115&gt;$B$5+$B$6+$B$7,0,IF(A115=$B$6,-$M$7*$B$12,0))</f>
        <v/>
      </c>
      <c r="P115" s="29">
        <f>IF(A115&gt;$B$5+$B$6+$B$7,0,N115/(M115-L115*P114))</f>
        <v/>
      </c>
      <c r="Q115" s="29">
        <f>IF(A115&gt;$B$5+$B$6+$B$7,0,(O115-L115*Q114)/(M115-L115*P114))</f>
        <v/>
      </c>
      <c r="R115" s="30">
        <f>IF(A115&gt;$B$5+$B$6+$B$7,0,Q115-P115*R116)</f>
        <v/>
      </c>
      <c r="S115" s="29">
        <f>IF(A115&gt;$B$5+$B$6+$B$7,0,IF(A115&lt;=$B$6,$H$8*$B$9^$I$8,IF(A115&lt;=$B$6+$B$7,$H$8*$B$10^$I$8,$H$8*$B$11^$I$8)))</f>
        <v/>
      </c>
      <c r="T115" s="29">
        <f>IF(A115&gt;$B$5+$B$6+$B$7,0,IF(A115=1,0,$B$14))</f>
        <v/>
      </c>
      <c r="U115" s="29">
        <f>IF(A115&gt;$B$5+$B$6+$B$7,0,IF(A115&gt;$B$6+$B$7,-$B$14-$B$13/S115,IF(A115&gt;$B$6,-$B$14-$B$13*$B$15/S115,-$B$14-($B$13*$B$15+$B$12)/S115)))</f>
        <v/>
      </c>
      <c r="V115" s="29">
        <f>IF(A115&gt;$B$5+$B$6+$B$7,0,IF(A115+1&gt;$B$5+$B$6+$B$7,0,IF(A115&gt;$B$6+$B$7,$B$13/S116,IF(A115&gt;=$B$6,$B$13*$B$15/S116,($B$13*$B$15+$B$12)/S116))))</f>
        <v/>
      </c>
      <c r="W115" s="29">
        <f>IF(A115&gt;$B$5+$B$6+$B$7,0,IF(A115=$B$6,-$M$8*$B$12,0))</f>
        <v/>
      </c>
      <c r="X115" s="29">
        <f>IF(A115&gt;$B$5+$B$6+$B$7,0,V115/(U115-T115*X114))</f>
        <v/>
      </c>
      <c r="Y115" s="29">
        <f>IF(A115&gt;$B$5+$B$6+$B$7,0,(W115-T115*Y114)/(U115-T115*X114))</f>
        <v/>
      </c>
      <c r="Z115" s="30">
        <f>IF(A115&gt;$B$5+$B$6+$B$7,0,Y115-X115*Z116)</f>
        <v/>
      </c>
      <c r="AA115" s="29">
        <f>IF(A115&gt;$B$5+$B$6+$B$7,0,IF(A115&lt;=$B$6,$H$9*$B$9^$I$9,IF(A115&lt;=$B$6+$B$7,$H$9*$B$10^$I$9,$H$9*$B$11^$I$9)))</f>
        <v/>
      </c>
      <c r="AB115" s="29">
        <f>IF(A115&gt;$B$5+$B$6+$B$7,0,IF(A115=1,0,$B$14))</f>
        <v/>
      </c>
      <c r="AC115" s="29">
        <f>IF(A115&gt;$B$5+$B$6+$B$7,0,IF(A115&gt;$B$6+$B$7,-$B$14-$B$13/AA115,IF(A115&gt;$B$6,-$B$14-$B$13*$B$15/AA115,-$B$14-($B$13*$B$15+$B$12)/AA115)))</f>
        <v/>
      </c>
      <c r="AD115" s="29">
        <f>IF(A115&gt;$B$5+$B$6+$B$7,0,IF(A115+1&gt;$B$5+$B$6+$B$7,0,IF(A115&gt;$B$6+$B$7,$B$13/AA116,IF(A115&gt;=$B$6,$B$13*$B$15/AA116,($B$13*$B$15+$B$12)/AA116))))</f>
        <v/>
      </c>
      <c r="AE115" s="29">
        <f>IF(A115&gt;$B$5+$B$6+$B$7,0,IF(A115=$B$6,-$M$9*$B$12,0))</f>
        <v/>
      </c>
      <c r="AF115" s="29">
        <f>IF(A115&gt;$B$5+$B$6+$B$7,0,AD115/(AC115-AB115*AF114))</f>
        <v/>
      </c>
      <c r="AG115" s="29">
        <f>IF(A115&gt;$B$5+$B$6+$B$7,0,(AE115-AB115*AG114)/(AC115-AB115*AF114))</f>
        <v/>
      </c>
      <c r="AH115" s="30">
        <f>IF(A115&gt;$B$5+$B$6+$B$7,0,AG115-AF115*AH116)</f>
        <v/>
      </c>
      <c r="AI115" s="31">
        <f>IF(A115&gt;$B$5+$B$6+$B$7,0,IF(C115&lt;&gt;0,J115/C115,0))</f>
        <v/>
      </c>
      <c r="AJ115" s="31">
        <f>IF(A115&gt;$B$5+$B$6+$B$7,0,IF(K115&lt;&gt;0,R115/K115,0))</f>
        <v/>
      </c>
      <c r="AK115" s="31">
        <f>IF(A115&gt;$B$5+$B$6+$B$7,0,IF(S115&lt;&gt;0,Z115/S115,0))</f>
        <v/>
      </c>
      <c r="AL115" s="31">
        <f>IF(A115&gt;$B$5+$B$6+$B$7,0,IF(AA115&lt;&gt;0,AH115/AA115,0))</f>
        <v/>
      </c>
      <c r="AM115" s="30">
        <f>J115+R115+Z115+AH115</f>
        <v/>
      </c>
      <c r="AN115" s="30">
        <f>AI115+AJ115+AK115+AL115</f>
        <v/>
      </c>
    </row>
    <row r="116">
      <c r="A116" s="27" t="n">
        <v>97</v>
      </c>
      <c r="B116" s="28">
        <f>IF(A116&gt;$B$5+$B$6+$B$7,"—",IF(A116&lt;=$B$6,"Extraction",IF(A116&lt;=$B$6+$B$7,"Scrub","Strip")))</f>
        <v/>
      </c>
      <c r="C116" s="29">
        <f>IF(A116&gt;$B$5+$B$6+$B$7,0,IF(A116&lt;=$B$6,$H$6*$B$9^$I$6,IF(A116&lt;=$B$6+$B$7,$H$6*$B$10^$I$6,$H$6*$B$11^$I$6)))</f>
        <v/>
      </c>
      <c r="D116" s="29">
        <f>IF(A116&gt;$B$5+$B$6+$B$7,0,IF(A116=1,0,$B$14))</f>
        <v/>
      </c>
      <c r="E116" s="29">
        <f>IF(A116&gt;$B$5+$B$6+$B$7,0,IF(A116&gt;$B$6+$B$7,-$B$14-$B$13/C116,IF(A116&gt;$B$6,-$B$14-$B$13*$B$15/C116,-$B$14-($B$13*$B$15+$B$12)/C116)))</f>
        <v/>
      </c>
      <c r="F116" s="29">
        <f>IF(A116&gt;$B$5+$B$6+$B$7,0,IF(A116+1&gt;$B$5+$B$6+$B$7,0,IF(A116&gt;$B$6+$B$7,$B$13/C117,IF(A116&gt;=$B$6,$B$13*$B$15/C117,($B$13*$B$15+$B$12)/C117))))</f>
        <v/>
      </c>
      <c r="G116" s="29">
        <f>IF(A116&gt;$B$5+$B$6+$B$7,0,IF(A116=$B$6,-$M$6*$B$12,0))</f>
        <v/>
      </c>
      <c r="H116" s="29">
        <f>IF(A116&gt;$B$5+$B$6+$B$7,0,F116/(E116-D116*H115))</f>
        <v/>
      </c>
      <c r="I116" s="29">
        <f>IF(A116&gt;$B$5+$B$6+$B$7,0,(G116-D116*I115)/(E116-D116*H115))</f>
        <v/>
      </c>
      <c r="J116" s="30">
        <f>IF(A116&gt;$B$5+$B$6+$B$7,0,I116-H116*J117)</f>
        <v/>
      </c>
      <c r="K116" s="29">
        <f>IF(A116&gt;$B$5+$B$6+$B$7,0,IF(A116&lt;=$B$6,$H$7*$B$9^$I$7,IF(A116&lt;=$B$6+$B$7,$H$7*$B$10^$I$7,$H$7*$B$11^$I$7)))</f>
        <v/>
      </c>
      <c r="L116" s="29">
        <f>IF(A116&gt;$B$5+$B$6+$B$7,0,IF(A116=1,0,$B$14))</f>
        <v/>
      </c>
      <c r="M116" s="29">
        <f>IF(A116&gt;$B$5+$B$6+$B$7,0,IF(A116&gt;$B$6+$B$7,-$B$14-$B$13/K116,IF(A116&gt;$B$6,-$B$14-$B$13*$B$15/K116,-$B$14-($B$13*$B$15+$B$12)/K116)))</f>
        <v/>
      </c>
      <c r="N116" s="29">
        <f>IF(A116&gt;$B$5+$B$6+$B$7,0,IF(A116+1&gt;$B$5+$B$6+$B$7,0,IF(A116&gt;$B$6+$B$7,$B$13/K117,IF(A116&gt;=$B$6,$B$13*$B$15/K117,($B$13*$B$15+$B$12)/K117))))</f>
        <v/>
      </c>
      <c r="O116" s="29">
        <f>IF(A116&gt;$B$5+$B$6+$B$7,0,IF(A116=$B$6,-$M$7*$B$12,0))</f>
        <v/>
      </c>
      <c r="P116" s="29">
        <f>IF(A116&gt;$B$5+$B$6+$B$7,0,N116/(M116-L116*P115))</f>
        <v/>
      </c>
      <c r="Q116" s="29">
        <f>IF(A116&gt;$B$5+$B$6+$B$7,0,(O116-L116*Q115)/(M116-L116*P115))</f>
        <v/>
      </c>
      <c r="R116" s="30">
        <f>IF(A116&gt;$B$5+$B$6+$B$7,0,Q116-P116*R117)</f>
        <v/>
      </c>
      <c r="S116" s="29">
        <f>IF(A116&gt;$B$5+$B$6+$B$7,0,IF(A116&lt;=$B$6,$H$8*$B$9^$I$8,IF(A116&lt;=$B$6+$B$7,$H$8*$B$10^$I$8,$H$8*$B$11^$I$8)))</f>
        <v/>
      </c>
      <c r="T116" s="29">
        <f>IF(A116&gt;$B$5+$B$6+$B$7,0,IF(A116=1,0,$B$14))</f>
        <v/>
      </c>
      <c r="U116" s="29">
        <f>IF(A116&gt;$B$5+$B$6+$B$7,0,IF(A116&gt;$B$6+$B$7,-$B$14-$B$13/S116,IF(A116&gt;$B$6,-$B$14-$B$13*$B$15/S116,-$B$14-($B$13*$B$15+$B$12)/S116)))</f>
        <v/>
      </c>
      <c r="V116" s="29">
        <f>IF(A116&gt;$B$5+$B$6+$B$7,0,IF(A116+1&gt;$B$5+$B$6+$B$7,0,IF(A116&gt;$B$6+$B$7,$B$13/S117,IF(A116&gt;=$B$6,$B$13*$B$15/S117,($B$13*$B$15+$B$12)/S117))))</f>
        <v/>
      </c>
      <c r="W116" s="29">
        <f>IF(A116&gt;$B$5+$B$6+$B$7,0,IF(A116=$B$6,-$M$8*$B$12,0))</f>
        <v/>
      </c>
      <c r="X116" s="29">
        <f>IF(A116&gt;$B$5+$B$6+$B$7,0,V116/(U116-T116*X115))</f>
        <v/>
      </c>
      <c r="Y116" s="29">
        <f>IF(A116&gt;$B$5+$B$6+$B$7,0,(W116-T116*Y115)/(U116-T116*X115))</f>
        <v/>
      </c>
      <c r="Z116" s="30">
        <f>IF(A116&gt;$B$5+$B$6+$B$7,0,Y116-X116*Z117)</f>
        <v/>
      </c>
      <c r="AA116" s="29">
        <f>IF(A116&gt;$B$5+$B$6+$B$7,0,IF(A116&lt;=$B$6,$H$9*$B$9^$I$9,IF(A116&lt;=$B$6+$B$7,$H$9*$B$10^$I$9,$H$9*$B$11^$I$9)))</f>
        <v/>
      </c>
      <c r="AB116" s="29">
        <f>IF(A116&gt;$B$5+$B$6+$B$7,0,IF(A116=1,0,$B$14))</f>
        <v/>
      </c>
      <c r="AC116" s="29">
        <f>IF(A116&gt;$B$5+$B$6+$B$7,0,IF(A116&gt;$B$6+$B$7,-$B$14-$B$13/AA116,IF(A116&gt;$B$6,-$B$14-$B$13*$B$15/AA116,-$B$14-($B$13*$B$15+$B$12)/AA116)))</f>
        <v/>
      </c>
      <c r="AD116" s="29">
        <f>IF(A116&gt;$B$5+$B$6+$B$7,0,IF(A116+1&gt;$B$5+$B$6+$B$7,0,IF(A116&gt;$B$6+$B$7,$B$13/AA117,IF(A116&gt;=$B$6,$B$13*$B$15/AA117,($B$13*$B$15+$B$12)/AA117))))</f>
        <v/>
      </c>
      <c r="AE116" s="29">
        <f>IF(A116&gt;$B$5+$B$6+$B$7,0,IF(A116=$B$6,-$M$9*$B$12,0))</f>
        <v/>
      </c>
      <c r="AF116" s="29">
        <f>IF(A116&gt;$B$5+$B$6+$B$7,0,AD116/(AC116-AB116*AF115))</f>
        <v/>
      </c>
      <c r="AG116" s="29">
        <f>IF(A116&gt;$B$5+$B$6+$B$7,0,(AE116-AB116*AG115)/(AC116-AB116*AF115))</f>
        <v/>
      </c>
      <c r="AH116" s="30">
        <f>IF(A116&gt;$B$5+$B$6+$B$7,0,AG116-AF116*AH117)</f>
        <v/>
      </c>
      <c r="AI116" s="31">
        <f>IF(A116&gt;$B$5+$B$6+$B$7,0,IF(C116&lt;&gt;0,J116/C116,0))</f>
        <v/>
      </c>
      <c r="AJ116" s="31">
        <f>IF(A116&gt;$B$5+$B$6+$B$7,0,IF(K116&lt;&gt;0,R116/K116,0))</f>
        <v/>
      </c>
      <c r="AK116" s="31">
        <f>IF(A116&gt;$B$5+$B$6+$B$7,0,IF(S116&lt;&gt;0,Z116/S116,0))</f>
        <v/>
      </c>
      <c r="AL116" s="31">
        <f>IF(A116&gt;$B$5+$B$6+$B$7,0,IF(AA116&lt;&gt;0,AH116/AA116,0))</f>
        <v/>
      </c>
      <c r="AM116" s="30">
        <f>J116+R116+Z116+AH116</f>
        <v/>
      </c>
      <c r="AN116" s="30">
        <f>AI116+AJ116+AK116+AL116</f>
        <v/>
      </c>
    </row>
    <row r="117">
      <c r="A117" s="27" t="n">
        <v>98</v>
      </c>
      <c r="B117" s="28">
        <f>IF(A117&gt;$B$5+$B$6+$B$7,"—",IF(A117&lt;=$B$6,"Extraction",IF(A117&lt;=$B$6+$B$7,"Scrub","Strip")))</f>
        <v/>
      </c>
      <c r="C117" s="29">
        <f>IF(A117&gt;$B$5+$B$6+$B$7,0,IF(A117&lt;=$B$6,$H$6*$B$9^$I$6,IF(A117&lt;=$B$6+$B$7,$H$6*$B$10^$I$6,$H$6*$B$11^$I$6)))</f>
        <v/>
      </c>
      <c r="D117" s="29">
        <f>IF(A117&gt;$B$5+$B$6+$B$7,0,IF(A117=1,0,$B$14))</f>
        <v/>
      </c>
      <c r="E117" s="29">
        <f>IF(A117&gt;$B$5+$B$6+$B$7,0,IF(A117&gt;$B$6+$B$7,-$B$14-$B$13/C117,IF(A117&gt;$B$6,-$B$14-$B$13*$B$15/C117,-$B$14-($B$13*$B$15+$B$12)/C117)))</f>
        <v/>
      </c>
      <c r="F117" s="29">
        <f>IF(A117&gt;$B$5+$B$6+$B$7,0,IF(A117+1&gt;$B$5+$B$6+$B$7,0,IF(A117&gt;$B$6+$B$7,$B$13/C118,IF(A117&gt;=$B$6,$B$13*$B$15/C118,($B$13*$B$15+$B$12)/C118))))</f>
        <v/>
      </c>
      <c r="G117" s="29">
        <f>IF(A117&gt;$B$5+$B$6+$B$7,0,IF(A117=$B$6,-$M$6*$B$12,0))</f>
        <v/>
      </c>
      <c r="H117" s="29">
        <f>IF(A117&gt;$B$5+$B$6+$B$7,0,F117/(E117-D117*H116))</f>
        <v/>
      </c>
      <c r="I117" s="29">
        <f>IF(A117&gt;$B$5+$B$6+$B$7,0,(G117-D117*I116)/(E117-D117*H116))</f>
        <v/>
      </c>
      <c r="J117" s="30">
        <f>IF(A117&gt;$B$5+$B$6+$B$7,0,I117-H117*J118)</f>
        <v/>
      </c>
      <c r="K117" s="29">
        <f>IF(A117&gt;$B$5+$B$6+$B$7,0,IF(A117&lt;=$B$6,$H$7*$B$9^$I$7,IF(A117&lt;=$B$6+$B$7,$H$7*$B$10^$I$7,$H$7*$B$11^$I$7)))</f>
        <v/>
      </c>
      <c r="L117" s="29">
        <f>IF(A117&gt;$B$5+$B$6+$B$7,0,IF(A117=1,0,$B$14))</f>
        <v/>
      </c>
      <c r="M117" s="29">
        <f>IF(A117&gt;$B$5+$B$6+$B$7,0,IF(A117&gt;$B$6+$B$7,-$B$14-$B$13/K117,IF(A117&gt;$B$6,-$B$14-$B$13*$B$15/K117,-$B$14-($B$13*$B$15+$B$12)/K117)))</f>
        <v/>
      </c>
      <c r="N117" s="29">
        <f>IF(A117&gt;$B$5+$B$6+$B$7,0,IF(A117+1&gt;$B$5+$B$6+$B$7,0,IF(A117&gt;$B$6+$B$7,$B$13/K118,IF(A117&gt;=$B$6,$B$13*$B$15/K118,($B$13*$B$15+$B$12)/K118))))</f>
        <v/>
      </c>
      <c r="O117" s="29">
        <f>IF(A117&gt;$B$5+$B$6+$B$7,0,IF(A117=$B$6,-$M$7*$B$12,0))</f>
        <v/>
      </c>
      <c r="P117" s="29">
        <f>IF(A117&gt;$B$5+$B$6+$B$7,0,N117/(M117-L117*P116))</f>
        <v/>
      </c>
      <c r="Q117" s="29">
        <f>IF(A117&gt;$B$5+$B$6+$B$7,0,(O117-L117*Q116)/(M117-L117*P116))</f>
        <v/>
      </c>
      <c r="R117" s="30">
        <f>IF(A117&gt;$B$5+$B$6+$B$7,0,Q117-P117*R118)</f>
        <v/>
      </c>
      <c r="S117" s="29">
        <f>IF(A117&gt;$B$5+$B$6+$B$7,0,IF(A117&lt;=$B$6,$H$8*$B$9^$I$8,IF(A117&lt;=$B$6+$B$7,$H$8*$B$10^$I$8,$H$8*$B$11^$I$8)))</f>
        <v/>
      </c>
      <c r="T117" s="29">
        <f>IF(A117&gt;$B$5+$B$6+$B$7,0,IF(A117=1,0,$B$14))</f>
        <v/>
      </c>
      <c r="U117" s="29">
        <f>IF(A117&gt;$B$5+$B$6+$B$7,0,IF(A117&gt;$B$6+$B$7,-$B$14-$B$13/S117,IF(A117&gt;$B$6,-$B$14-$B$13*$B$15/S117,-$B$14-($B$13*$B$15+$B$12)/S117)))</f>
        <v/>
      </c>
      <c r="V117" s="29">
        <f>IF(A117&gt;$B$5+$B$6+$B$7,0,IF(A117+1&gt;$B$5+$B$6+$B$7,0,IF(A117&gt;$B$6+$B$7,$B$13/S118,IF(A117&gt;=$B$6,$B$13*$B$15/S118,($B$13*$B$15+$B$12)/S118))))</f>
        <v/>
      </c>
      <c r="W117" s="29">
        <f>IF(A117&gt;$B$5+$B$6+$B$7,0,IF(A117=$B$6,-$M$8*$B$12,0))</f>
        <v/>
      </c>
      <c r="X117" s="29">
        <f>IF(A117&gt;$B$5+$B$6+$B$7,0,V117/(U117-T117*X116))</f>
        <v/>
      </c>
      <c r="Y117" s="29">
        <f>IF(A117&gt;$B$5+$B$6+$B$7,0,(W117-T117*Y116)/(U117-T117*X116))</f>
        <v/>
      </c>
      <c r="Z117" s="30">
        <f>IF(A117&gt;$B$5+$B$6+$B$7,0,Y117-X117*Z118)</f>
        <v/>
      </c>
      <c r="AA117" s="29">
        <f>IF(A117&gt;$B$5+$B$6+$B$7,0,IF(A117&lt;=$B$6,$H$9*$B$9^$I$9,IF(A117&lt;=$B$6+$B$7,$H$9*$B$10^$I$9,$H$9*$B$11^$I$9)))</f>
        <v/>
      </c>
      <c r="AB117" s="29">
        <f>IF(A117&gt;$B$5+$B$6+$B$7,0,IF(A117=1,0,$B$14))</f>
        <v/>
      </c>
      <c r="AC117" s="29">
        <f>IF(A117&gt;$B$5+$B$6+$B$7,0,IF(A117&gt;$B$6+$B$7,-$B$14-$B$13/AA117,IF(A117&gt;$B$6,-$B$14-$B$13*$B$15/AA117,-$B$14-($B$13*$B$15+$B$12)/AA117)))</f>
        <v/>
      </c>
      <c r="AD117" s="29">
        <f>IF(A117&gt;$B$5+$B$6+$B$7,0,IF(A117+1&gt;$B$5+$B$6+$B$7,0,IF(A117&gt;$B$6+$B$7,$B$13/AA118,IF(A117&gt;=$B$6,$B$13*$B$15/AA118,($B$13*$B$15+$B$12)/AA118))))</f>
        <v/>
      </c>
      <c r="AE117" s="29">
        <f>IF(A117&gt;$B$5+$B$6+$B$7,0,IF(A117=$B$6,-$M$9*$B$12,0))</f>
        <v/>
      </c>
      <c r="AF117" s="29">
        <f>IF(A117&gt;$B$5+$B$6+$B$7,0,AD117/(AC117-AB117*AF116))</f>
        <v/>
      </c>
      <c r="AG117" s="29">
        <f>IF(A117&gt;$B$5+$B$6+$B$7,0,(AE117-AB117*AG116)/(AC117-AB117*AF116))</f>
        <v/>
      </c>
      <c r="AH117" s="30">
        <f>IF(A117&gt;$B$5+$B$6+$B$7,0,AG117-AF117*AH118)</f>
        <v/>
      </c>
      <c r="AI117" s="31">
        <f>IF(A117&gt;$B$5+$B$6+$B$7,0,IF(C117&lt;&gt;0,J117/C117,0))</f>
        <v/>
      </c>
      <c r="AJ117" s="31">
        <f>IF(A117&gt;$B$5+$B$6+$B$7,0,IF(K117&lt;&gt;0,R117/K117,0))</f>
        <v/>
      </c>
      <c r="AK117" s="31">
        <f>IF(A117&gt;$B$5+$B$6+$B$7,0,IF(S117&lt;&gt;0,Z117/S117,0))</f>
        <v/>
      </c>
      <c r="AL117" s="31">
        <f>IF(A117&gt;$B$5+$B$6+$B$7,0,IF(AA117&lt;&gt;0,AH117/AA117,0))</f>
        <v/>
      </c>
      <c r="AM117" s="30">
        <f>J117+R117+Z117+AH117</f>
        <v/>
      </c>
      <c r="AN117" s="30">
        <f>AI117+AJ117+AK117+AL117</f>
        <v/>
      </c>
    </row>
    <row r="118">
      <c r="A118" s="27" t="n">
        <v>99</v>
      </c>
      <c r="B118" s="28">
        <f>IF(A118&gt;$B$5+$B$6+$B$7,"—",IF(A118&lt;=$B$6,"Extraction",IF(A118&lt;=$B$6+$B$7,"Scrub","Strip")))</f>
        <v/>
      </c>
      <c r="C118" s="29">
        <f>IF(A118&gt;$B$5+$B$6+$B$7,0,IF(A118&lt;=$B$6,$H$6*$B$9^$I$6,IF(A118&lt;=$B$6+$B$7,$H$6*$B$10^$I$6,$H$6*$B$11^$I$6)))</f>
        <v/>
      </c>
      <c r="D118" s="29">
        <f>IF(A118&gt;$B$5+$B$6+$B$7,0,IF(A118=1,0,$B$14))</f>
        <v/>
      </c>
      <c r="E118" s="29">
        <f>IF(A118&gt;$B$5+$B$6+$B$7,0,IF(A118&gt;$B$6+$B$7,-$B$14-$B$13/C118,IF(A118&gt;$B$6,-$B$14-$B$13*$B$15/C118,-$B$14-($B$13*$B$15+$B$12)/C118)))</f>
        <v/>
      </c>
      <c r="F118" s="29">
        <f>IF(A118&gt;$B$5+$B$6+$B$7,0,IF(A118+1&gt;$B$5+$B$6+$B$7,0,IF(A118&gt;$B$6+$B$7,$B$13/C119,IF(A118&gt;=$B$6,$B$13*$B$15/C119,($B$13*$B$15+$B$12)/C119))))</f>
        <v/>
      </c>
      <c r="G118" s="29">
        <f>IF(A118&gt;$B$5+$B$6+$B$7,0,IF(A118=$B$6,-$M$6*$B$12,0))</f>
        <v/>
      </c>
      <c r="H118" s="29">
        <f>IF(A118&gt;$B$5+$B$6+$B$7,0,F118/(E118-D118*H117))</f>
        <v/>
      </c>
      <c r="I118" s="29">
        <f>IF(A118&gt;$B$5+$B$6+$B$7,0,(G118-D118*I117)/(E118-D118*H117))</f>
        <v/>
      </c>
      <c r="J118" s="30">
        <f>IF(A118&gt;$B$5+$B$6+$B$7,0,I118-H118*J119)</f>
        <v/>
      </c>
      <c r="K118" s="29">
        <f>IF(A118&gt;$B$5+$B$6+$B$7,0,IF(A118&lt;=$B$6,$H$7*$B$9^$I$7,IF(A118&lt;=$B$6+$B$7,$H$7*$B$10^$I$7,$H$7*$B$11^$I$7)))</f>
        <v/>
      </c>
      <c r="L118" s="29">
        <f>IF(A118&gt;$B$5+$B$6+$B$7,0,IF(A118=1,0,$B$14))</f>
        <v/>
      </c>
      <c r="M118" s="29">
        <f>IF(A118&gt;$B$5+$B$6+$B$7,0,IF(A118&gt;$B$6+$B$7,-$B$14-$B$13/K118,IF(A118&gt;$B$6,-$B$14-$B$13*$B$15/K118,-$B$14-($B$13*$B$15+$B$12)/K118)))</f>
        <v/>
      </c>
      <c r="N118" s="29">
        <f>IF(A118&gt;$B$5+$B$6+$B$7,0,IF(A118+1&gt;$B$5+$B$6+$B$7,0,IF(A118&gt;$B$6+$B$7,$B$13/K119,IF(A118&gt;=$B$6,$B$13*$B$15/K119,($B$13*$B$15+$B$12)/K119))))</f>
        <v/>
      </c>
      <c r="O118" s="29">
        <f>IF(A118&gt;$B$5+$B$6+$B$7,0,IF(A118=$B$6,-$M$7*$B$12,0))</f>
        <v/>
      </c>
      <c r="P118" s="29">
        <f>IF(A118&gt;$B$5+$B$6+$B$7,0,N118/(M118-L118*P117))</f>
        <v/>
      </c>
      <c r="Q118" s="29">
        <f>IF(A118&gt;$B$5+$B$6+$B$7,0,(O118-L118*Q117)/(M118-L118*P117))</f>
        <v/>
      </c>
      <c r="R118" s="30">
        <f>IF(A118&gt;$B$5+$B$6+$B$7,0,Q118-P118*R119)</f>
        <v/>
      </c>
      <c r="S118" s="29">
        <f>IF(A118&gt;$B$5+$B$6+$B$7,0,IF(A118&lt;=$B$6,$H$8*$B$9^$I$8,IF(A118&lt;=$B$6+$B$7,$H$8*$B$10^$I$8,$H$8*$B$11^$I$8)))</f>
        <v/>
      </c>
      <c r="T118" s="29">
        <f>IF(A118&gt;$B$5+$B$6+$B$7,0,IF(A118=1,0,$B$14))</f>
        <v/>
      </c>
      <c r="U118" s="29">
        <f>IF(A118&gt;$B$5+$B$6+$B$7,0,IF(A118&gt;$B$6+$B$7,-$B$14-$B$13/S118,IF(A118&gt;$B$6,-$B$14-$B$13*$B$15/S118,-$B$14-($B$13*$B$15+$B$12)/S118)))</f>
        <v/>
      </c>
      <c r="V118" s="29">
        <f>IF(A118&gt;$B$5+$B$6+$B$7,0,IF(A118+1&gt;$B$5+$B$6+$B$7,0,IF(A118&gt;$B$6+$B$7,$B$13/S119,IF(A118&gt;=$B$6,$B$13*$B$15/S119,($B$13*$B$15+$B$12)/S119))))</f>
        <v/>
      </c>
      <c r="W118" s="29">
        <f>IF(A118&gt;$B$5+$B$6+$B$7,0,IF(A118=$B$6,-$M$8*$B$12,0))</f>
        <v/>
      </c>
      <c r="X118" s="29">
        <f>IF(A118&gt;$B$5+$B$6+$B$7,0,V118/(U118-T118*X117))</f>
        <v/>
      </c>
      <c r="Y118" s="29">
        <f>IF(A118&gt;$B$5+$B$6+$B$7,0,(W118-T118*Y117)/(U118-T118*X117))</f>
        <v/>
      </c>
      <c r="Z118" s="30">
        <f>IF(A118&gt;$B$5+$B$6+$B$7,0,Y118-X118*Z119)</f>
        <v/>
      </c>
      <c r="AA118" s="29">
        <f>IF(A118&gt;$B$5+$B$6+$B$7,0,IF(A118&lt;=$B$6,$H$9*$B$9^$I$9,IF(A118&lt;=$B$6+$B$7,$H$9*$B$10^$I$9,$H$9*$B$11^$I$9)))</f>
        <v/>
      </c>
      <c r="AB118" s="29">
        <f>IF(A118&gt;$B$5+$B$6+$B$7,0,IF(A118=1,0,$B$14))</f>
        <v/>
      </c>
      <c r="AC118" s="29">
        <f>IF(A118&gt;$B$5+$B$6+$B$7,0,IF(A118&gt;$B$6+$B$7,-$B$14-$B$13/AA118,IF(A118&gt;$B$6,-$B$14-$B$13*$B$15/AA118,-$B$14-($B$13*$B$15+$B$12)/AA118)))</f>
        <v/>
      </c>
      <c r="AD118" s="29">
        <f>IF(A118&gt;$B$5+$B$6+$B$7,0,IF(A118+1&gt;$B$5+$B$6+$B$7,0,IF(A118&gt;$B$6+$B$7,$B$13/AA119,IF(A118&gt;=$B$6,$B$13*$B$15/AA119,($B$13*$B$15+$B$12)/AA119))))</f>
        <v/>
      </c>
      <c r="AE118" s="29">
        <f>IF(A118&gt;$B$5+$B$6+$B$7,0,IF(A118=$B$6,-$M$9*$B$12,0))</f>
        <v/>
      </c>
      <c r="AF118" s="29">
        <f>IF(A118&gt;$B$5+$B$6+$B$7,0,AD118/(AC118-AB118*AF117))</f>
        <v/>
      </c>
      <c r="AG118" s="29">
        <f>IF(A118&gt;$B$5+$B$6+$B$7,0,(AE118-AB118*AG117)/(AC118-AB118*AF117))</f>
        <v/>
      </c>
      <c r="AH118" s="30">
        <f>IF(A118&gt;$B$5+$B$6+$B$7,0,AG118-AF118*AH119)</f>
        <v/>
      </c>
      <c r="AI118" s="31">
        <f>IF(A118&gt;$B$5+$B$6+$B$7,0,IF(C118&lt;&gt;0,J118/C118,0))</f>
        <v/>
      </c>
      <c r="AJ118" s="31">
        <f>IF(A118&gt;$B$5+$B$6+$B$7,0,IF(K118&lt;&gt;0,R118/K118,0))</f>
        <v/>
      </c>
      <c r="AK118" s="31">
        <f>IF(A118&gt;$B$5+$B$6+$B$7,0,IF(S118&lt;&gt;0,Z118/S118,0))</f>
        <v/>
      </c>
      <c r="AL118" s="31">
        <f>IF(A118&gt;$B$5+$B$6+$B$7,0,IF(AA118&lt;&gt;0,AH118/AA118,0))</f>
        <v/>
      </c>
      <c r="AM118" s="30">
        <f>J118+R118+Z118+AH118</f>
        <v/>
      </c>
      <c r="AN118" s="30">
        <f>AI118+AJ118+AK118+AL118</f>
        <v/>
      </c>
    </row>
    <row r="119">
      <c r="A119" s="27" t="n">
        <v>100</v>
      </c>
      <c r="B119" s="28">
        <f>IF(A119&gt;$B$5+$B$6+$B$7,"—",IF(A119&lt;=$B$6,"Extraction",IF(A119&lt;=$B$6+$B$7,"Scrub","Strip")))</f>
        <v/>
      </c>
      <c r="C119" s="29">
        <f>IF(A119&gt;$B$5+$B$6+$B$7,0,IF(A119&lt;=$B$6,$H$6*$B$9^$I$6,IF(A119&lt;=$B$6+$B$7,$H$6*$B$10^$I$6,$H$6*$B$11^$I$6)))</f>
        <v/>
      </c>
      <c r="D119" s="29">
        <f>IF(A119&gt;$B$5+$B$6+$B$7,0,IF(A119=1,0,$B$14))</f>
        <v/>
      </c>
      <c r="E119" s="29">
        <f>IF(A119&gt;$B$5+$B$6+$B$7,0,IF(A119&gt;$B$6+$B$7,-$B$14-$B$13/C119,IF(A119&gt;$B$6,-$B$14-$B$13*$B$15/C119,-$B$14-($B$13*$B$15+$B$12)/C119)))</f>
        <v/>
      </c>
      <c r="F119" s="29">
        <f>0</f>
        <v/>
      </c>
      <c r="G119" s="29">
        <f>IF(A119&gt;$B$5+$B$6+$B$7,0,IF(A119=$B$6,-$M$6*$B$12,0))</f>
        <v/>
      </c>
      <c r="H119" s="29">
        <f>IF(A119&gt;$B$5+$B$6+$B$7,0,F119/(E119-D119*H118))</f>
        <v/>
      </c>
      <c r="I119" s="29">
        <f>IF(A119&gt;$B$5+$B$6+$B$7,0,(G119-D119*I118)/(E119-D119*H118))</f>
        <v/>
      </c>
      <c r="J119" s="30">
        <f>IF(A119&gt;$B$5+$B$6+$B$7,0,I119)</f>
        <v/>
      </c>
      <c r="K119" s="29">
        <f>IF(A119&gt;$B$5+$B$6+$B$7,0,IF(A119&lt;=$B$6,$H$7*$B$9^$I$7,IF(A119&lt;=$B$6+$B$7,$H$7*$B$10^$I$7,$H$7*$B$11^$I$7)))</f>
        <v/>
      </c>
      <c r="L119" s="29">
        <f>IF(A119&gt;$B$5+$B$6+$B$7,0,IF(A119=1,0,$B$14))</f>
        <v/>
      </c>
      <c r="M119" s="29">
        <f>IF(A119&gt;$B$5+$B$6+$B$7,0,IF(A119&gt;$B$6+$B$7,-$B$14-$B$13/K119,IF(A119&gt;$B$6,-$B$14-$B$13*$B$15/K119,-$B$14-($B$13*$B$15+$B$12)/K119)))</f>
        <v/>
      </c>
      <c r="N119" s="29">
        <f>0</f>
        <v/>
      </c>
      <c r="O119" s="29">
        <f>IF(A119&gt;$B$5+$B$6+$B$7,0,IF(A119=$B$6,-$M$7*$B$12,0))</f>
        <v/>
      </c>
      <c r="P119" s="29">
        <f>IF(A119&gt;$B$5+$B$6+$B$7,0,N119/(M119-L119*P118))</f>
        <v/>
      </c>
      <c r="Q119" s="29">
        <f>IF(A119&gt;$B$5+$B$6+$B$7,0,(O119-L119*Q118)/(M119-L119*P118))</f>
        <v/>
      </c>
      <c r="R119" s="30">
        <f>IF(A119&gt;$B$5+$B$6+$B$7,0,Q119)</f>
        <v/>
      </c>
      <c r="S119" s="29">
        <f>IF(A119&gt;$B$5+$B$6+$B$7,0,IF(A119&lt;=$B$6,$H$8*$B$9^$I$8,IF(A119&lt;=$B$6+$B$7,$H$8*$B$10^$I$8,$H$8*$B$11^$I$8)))</f>
        <v/>
      </c>
      <c r="T119" s="29">
        <f>IF(A119&gt;$B$5+$B$6+$B$7,0,IF(A119=1,0,$B$14))</f>
        <v/>
      </c>
      <c r="U119" s="29">
        <f>IF(A119&gt;$B$5+$B$6+$B$7,0,IF(A119&gt;$B$6+$B$7,-$B$14-$B$13/S119,IF(A119&gt;$B$6,-$B$14-$B$13*$B$15/S119,-$B$14-($B$13*$B$15+$B$12)/S119)))</f>
        <v/>
      </c>
      <c r="V119" s="29">
        <f>0</f>
        <v/>
      </c>
      <c r="W119" s="29">
        <f>IF(A119&gt;$B$5+$B$6+$B$7,0,IF(A119=$B$6,-$M$8*$B$12,0))</f>
        <v/>
      </c>
      <c r="X119" s="29">
        <f>IF(A119&gt;$B$5+$B$6+$B$7,0,V119/(U119-T119*X118))</f>
        <v/>
      </c>
      <c r="Y119" s="29">
        <f>IF(A119&gt;$B$5+$B$6+$B$7,0,(W119-T119*Y118)/(U119-T119*X118))</f>
        <v/>
      </c>
      <c r="Z119" s="30">
        <f>IF(A119&gt;$B$5+$B$6+$B$7,0,Y119)</f>
        <v/>
      </c>
      <c r="AA119" s="29">
        <f>IF(A119&gt;$B$5+$B$6+$B$7,0,IF(A119&lt;=$B$6,$H$9*$B$9^$I$9,IF(A119&lt;=$B$6+$B$7,$H$9*$B$10^$I$9,$H$9*$B$11^$I$9)))</f>
        <v/>
      </c>
      <c r="AB119" s="29">
        <f>IF(A119&gt;$B$5+$B$6+$B$7,0,IF(A119=1,0,$B$14))</f>
        <v/>
      </c>
      <c r="AC119" s="29">
        <f>IF(A119&gt;$B$5+$B$6+$B$7,0,IF(A119&gt;$B$6+$B$7,-$B$14-$B$13/AA119,IF(A119&gt;$B$6,-$B$14-$B$13*$B$15/AA119,-$B$14-($B$13*$B$15+$B$12)/AA119)))</f>
        <v/>
      </c>
      <c r="AD119" s="29">
        <f>0</f>
        <v/>
      </c>
      <c r="AE119" s="29">
        <f>IF(A119&gt;$B$5+$B$6+$B$7,0,IF(A119=$B$6,-$M$9*$B$12,0))</f>
        <v/>
      </c>
      <c r="AF119" s="29">
        <f>IF(A119&gt;$B$5+$B$6+$B$7,0,AD119/(AC119-AB119*AF118))</f>
        <v/>
      </c>
      <c r="AG119" s="29">
        <f>IF(A119&gt;$B$5+$B$6+$B$7,0,(AE119-AB119*AG118)/(AC119-AB119*AF118))</f>
        <v/>
      </c>
      <c r="AH119" s="30">
        <f>IF(A119&gt;$B$5+$B$6+$B$7,0,AG119)</f>
        <v/>
      </c>
      <c r="AI119" s="31">
        <f>IF(A119&gt;$B$5+$B$6+$B$7,0,IF(C119&lt;&gt;0,J119/C119,0))</f>
        <v/>
      </c>
      <c r="AJ119" s="31">
        <f>IF(A119&gt;$B$5+$B$6+$B$7,0,IF(K119&lt;&gt;0,R119/K119,0))</f>
        <v/>
      </c>
      <c r="AK119" s="31">
        <f>IF(A119&gt;$B$5+$B$6+$B$7,0,IF(S119&lt;&gt;0,Z119/S119,0))</f>
        <v/>
      </c>
      <c r="AL119" s="31">
        <f>IF(A119&gt;$B$5+$B$6+$B$7,0,IF(AA119&lt;&gt;0,AH119/AA119,0))</f>
        <v/>
      </c>
      <c r="AM119" s="30">
        <f>J119+R119+Z119+AH119</f>
        <v/>
      </c>
      <c r="AN119" s="30">
        <f>AI119+AJ119+AK119+AL119</f>
        <v/>
      </c>
    </row>
    <row r="121" ht="6" customHeight="1"/>
    <row r="122" ht="20" customHeight="1">
      <c r="A122" s="7" t="inlineStr">
        <is>
          <t xml:space="preserve">  STAGE PROFILE  ·  Aqueous concentrations (g/L)  ·  Source for charts</t>
        </is>
      </c>
    </row>
    <row r="123" ht="28" customHeight="1">
      <c r="A123" s="28" t="n">
        <v>1</v>
      </c>
      <c r="B123" s="28">
        <f>IF(1&gt;$B$5+$B$6+$B$7,"—",IF(1&lt;=$B$6,"Extraction",IF(1&lt;=$B$6+$B$7,"Scrub","Strip")))</f>
        <v/>
      </c>
      <c r="C123" s="31">
        <f>IF(1&gt;$B$5+$B$6+$B$7,"",AI20)</f>
        <v/>
      </c>
      <c r="D123" s="31">
        <f>IF(1&gt;$B$5+$B$6+$B$7,"",AJ20)</f>
        <v/>
      </c>
      <c r="E123" s="31">
        <f>IF(1&gt;$B$5+$B$6+$B$7,"",AK20)</f>
        <v/>
      </c>
      <c r="F123" s="31">
        <f>IF(1&gt;$B$5+$B$6+$B$7,"",AL20)</f>
        <v/>
      </c>
      <c r="G123" s="31">
        <f>IF(1&gt;$B$5+$B$6+$B$7,"",C123+D123)</f>
        <v/>
      </c>
      <c r="H123" s="32">
        <f>IF(1&gt;$B$5+$B$6+$B$7,"",IF((C123+D123+E123+F123)=0,0,(C123+D123)/(C123+D123+E123+F123)*100))</f>
        <v/>
      </c>
      <c r="I123" s="32">
        <f>IF(1&gt;$B$5+$B$6+$B$7,"",IF((C123+D123+E123+F123)=0,0,F123/(C123+D123+E123+F123)*100))</f>
        <v/>
      </c>
    </row>
    <row r="124">
      <c r="A124" s="28" t="n">
        <v>2</v>
      </c>
      <c r="B124" s="28">
        <f>IF(2&gt;$B$5+$B$6+$B$7,"—",IF(2&lt;=$B$6,"Extraction",IF(2&lt;=$B$6+$B$7,"Scrub","Strip")))</f>
        <v/>
      </c>
      <c r="C124" s="31">
        <f>IF(2&gt;$B$5+$B$6+$B$7,"",AI21)</f>
        <v/>
      </c>
      <c r="D124" s="31">
        <f>IF(2&gt;$B$5+$B$6+$B$7,"",AJ21)</f>
        <v/>
      </c>
      <c r="E124" s="31">
        <f>IF(2&gt;$B$5+$B$6+$B$7,"",AK21)</f>
        <v/>
      </c>
      <c r="F124" s="31">
        <f>IF(2&gt;$B$5+$B$6+$B$7,"",AL21)</f>
        <v/>
      </c>
      <c r="G124" s="31">
        <f>IF(2&gt;$B$5+$B$6+$B$7,"",C124+D124)</f>
        <v/>
      </c>
      <c r="H124" s="32">
        <f>IF(2&gt;$B$5+$B$6+$B$7,"",IF((C124+D124+E124+F124)=0,0,(C124+D124)/(C124+D124+E124+F124)*100))</f>
        <v/>
      </c>
      <c r="I124" s="32">
        <f>IF(2&gt;$B$5+$B$6+$B$7,"",IF((C124+D124+E124+F124)=0,0,F124/(C124+D124+E124+F124)*100))</f>
        <v/>
      </c>
    </row>
    <row r="125">
      <c r="A125" s="28" t="n">
        <v>3</v>
      </c>
      <c r="B125" s="28">
        <f>IF(3&gt;$B$5+$B$6+$B$7,"—",IF(3&lt;=$B$6,"Extraction",IF(3&lt;=$B$6+$B$7,"Scrub","Strip")))</f>
        <v/>
      </c>
      <c r="C125" s="31">
        <f>IF(3&gt;$B$5+$B$6+$B$7,"",AI22)</f>
        <v/>
      </c>
      <c r="D125" s="31">
        <f>IF(3&gt;$B$5+$B$6+$B$7,"",AJ22)</f>
        <v/>
      </c>
      <c r="E125" s="31">
        <f>IF(3&gt;$B$5+$B$6+$B$7,"",AK22)</f>
        <v/>
      </c>
      <c r="F125" s="31">
        <f>IF(3&gt;$B$5+$B$6+$B$7,"",AL22)</f>
        <v/>
      </c>
      <c r="G125" s="31">
        <f>IF(3&gt;$B$5+$B$6+$B$7,"",C125+D125)</f>
        <v/>
      </c>
      <c r="H125" s="32">
        <f>IF(3&gt;$B$5+$B$6+$B$7,"",IF((C125+D125+E125+F125)=0,0,(C125+D125)/(C125+D125+E125+F125)*100))</f>
        <v/>
      </c>
      <c r="I125" s="32">
        <f>IF(3&gt;$B$5+$B$6+$B$7,"",IF((C125+D125+E125+F125)=0,0,F125/(C125+D125+E125+F125)*100))</f>
        <v/>
      </c>
    </row>
    <row r="126">
      <c r="A126" s="28" t="n">
        <v>4</v>
      </c>
      <c r="B126" s="28">
        <f>IF(4&gt;$B$5+$B$6+$B$7,"—",IF(4&lt;=$B$6,"Extraction",IF(4&lt;=$B$6+$B$7,"Scrub","Strip")))</f>
        <v/>
      </c>
      <c r="C126" s="31">
        <f>IF(4&gt;$B$5+$B$6+$B$7,"",AI23)</f>
        <v/>
      </c>
      <c r="D126" s="31">
        <f>IF(4&gt;$B$5+$B$6+$B$7,"",AJ23)</f>
        <v/>
      </c>
      <c r="E126" s="31">
        <f>IF(4&gt;$B$5+$B$6+$B$7,"",AK23)</f>
        <v/>
      </c>
      <c r="F126" s="31">
        <f>IF(4&gt;$B$5+$B$6+$B$7,"",AL23)</f>
        <v/>
      </c>
      <c r="G126" s="31">
        <f>IF(4&gt;$B$5+$B$6+$B$7,"",C126+D126)</f>
        <v/>
      </c>
      <c r="H126" s="32">
        <f>IF(4&gt;$B$5+$B$6+$B$7,"",IF((C126+D126+E126+F126)=0,0,(C126+D126)/(C126+D126+E126+F126)*100))</f>
        <v/>
      </c>
      <c r="I126" s="32">
        <f>IF(4&gt;$B$5+$B$6+$B$7,"",IF((C126+D126+E126+F126)=0,0,F126/(C126+D126+E126+F126)*100))</f>
        <v/>
      </c>
    </row>
    <row r="127">
      <c r="A127" s="28" t="n">
        <v>5</v>
      </c>
      <c r="B127" s="28">
        <f>IF(5&gt;$B$5+$B$6+$B$7,"—",IF(5&lt;=$B$6,"Extraction",IF(5&lt;=$B$6+$B$7,"Scrub","Strip")))</f>
        <v/>
      </c>
      <c r="C127" s="31">
        <f>IF(5&gt;$B$5+$B$6+$B$7,"",AI24)</f>
        <v/>
      </c>
      <c r="D127" s="31">
        <f>IF(5&gt;$B$5+$B$6+$B$7,"",AJ24)</f>
        <v/>
      </c>
      <c r="E127" s="31">
        <f>IF(5&gt;$B$5+$B$6+$B$7,"",AK24)</f>
        <v/>
      </c>
      <c r="F127" s="31">
        <f>IF(5&gt;$B$5+$B$6+$B$7,"",AL24)</f>
        <v/>
      </c>
      <c r="G127" s="31">
        <f>IF(5&gt;$B$5+$B$6+$B$7,"",C127+D127)</f>
        <v/>
      </c>
      <c r="H127" s="32">
        <f>IF(5&gt;$B$5+$B$6+$B$7,"",IF((C127+D127+E127+F127)=0,0,(C127+D127)/(C127+D127+E127+F127)*100))</f>
        <v/>
      </c>
      <c r="I127" s="32">
        <f>IF(5&gt;$B$5+$B$6+$B$7,"",IF((C127+D127+E127+F127)=0,0,F127/(C127+D127+E127+F127)*100))</f>
        <v/>
      </c>
    </row>
    <row r="128">
      <c r="A128" s="28" t="n">
        <v>6</v>
      </c>
      <c r="B128" s="28">
        <f>IF(6&gt;$B$5+$B$6+$B$7,"—",IF(6&lt;=$B$6,"Extraction",IF(6&lt;=$B$6+$B$7,"Scrub","Strip")))</f>
        <v/>
      </c>
      <c r="C128" s="31">
        <f>IF(6&gt;$B$5+$B$6+$B$7,"",AI25)</f>
        <v/>
      </c>
      <c r="D128" s="31">
        <f>IF(6&gt;$B$5+$B$6+$B$7,"",AJ25)</f>
        <v/>
      </c>
      <c r="E128" s="31">
        <f>IF(6&gt;$B$5+$B$6+$B$7,"",AK25)</f>
        <v/>
      </c>
      <c r="F128" s="31">
        <f>IF(6&gt;$B$5+$B$6+$B$7,"",AL25)</f>
        <v/>
      </c>
      <c r="G128" s="31">
        <f>IF(6&gt;$B$5+$B$6+$B$7,"",C128+D128)</f>
        <v/>
      </c>
      <c r="H128" s="32">
        <f>IF(6&gt;$B$5+$B$6+$B$7,"",IF((C128+D128+E128+F128)=0,0,(C128+D128)/(C128+D128+E128+F128)*100))</f>
        <v/>
      </c>
      <c r="I128" s="32">
        <f>IF(6&gt;$B$5+$B$6+$B$7,"",IF((C128+D128+E128+F128)=0,0,F128/(C128+D128+E128+F128)*100))</f>
        <v/>
      </c>
    </row>
    <row r="129">
      <c r="A129" s="28" t="n">
        <v>7</v>
      </c>
      <c r="B129" s="28">
        <f>IF(7&gt;$B$5+$B$6+$B$7,"—",IF(7&lt;=$B$6,"Extraction",IF(7&lt;=$B$6+$B$7,"Scrub","Strip")))</f>
        <v/>
      </c>
      <c r="C129" s="31">
        <f>IF(7&gt;$B$5+$B$6+$B$7,"",AI26)</f>
        <v/>
      </c>
      <c r="D129" s="31">
        <f>IF(7&gt;$B$5+$B$6+$B$7,"",AJ26)</f>
        <v/>
      </c>
      <c r="E129" s="31">
        <f>IF(7&gt;$B$5+$B$6+$B$7,"",AK26)</f>
        <v/>
      </c>
      <c r="F129" s="31">
        <f>IF(7&gt;$B$5+$B$6+$B$7,"",AL26)</f>
        <v/>
      </c>
      <c r="G129" s="31">
        <f>IF(7&gt;$B$5+$B$6+$B$7,"",C129+D129)</f>
        <v/>
      </c>
      <c r="H129" s="32">
        <f>IF(7&gt;$B$5+$B$6+$B$7,"",IF((C129+D129+E129+F129)=0,0,(C129+D129)/(C129+D129+E129+F129)*100))</f>
        <v/>
      </c>
      <c r="I129" s="32">
        <f>IF(7&gt;$B$5+$B$6+$B$7,"",IF((C129+D129+E129+F129)=0,0,F129/(C129+D129+E129+F129)*100))</f>
        <v/>
      </c>
    </row>
    <row r="130">
      <c r="A130" s="28" t="n">
        <v>8</v>
      </c>
      <c r="B130" s="28">
        <f>IF(8&gt;$B$5+$B$6+$B$7,"—",IF(8&lt;=$B$6,"Extraction",IF(8&lt;=$B$6+$B$7,"Scrub","Strip")))</f>
        <v/>
      </c>
      <c r="C130" s="31">
        <f>IF(8&gt;$B$5+$B$6+$B$7,"",AI27)</f>
        <v/>
      </c>
      <c r="D130" s="31">
        <f>IF(8&gt;$B$5+$B$6+$B$7,"",AJ27)</f>
        <v/>
      </c>
      <c r="E130" s="31">
        <f>IF(8&gt;$B$5+$B$6+$B$7,"",AK27)</f>
        <v/>
      </c>
      <c r="F130" s="31">
        <f>IF(8&gt;$B$5+$B$6+$B$7,"",AL27)</f>
        <v/>
      </c>
      <c r="G130" s="31">
        <f>IF(8&gt;$B$5+$B$6+$B$7,"",C130+D130)</f>
        <v/>
      </c>
      <c r="H130" s="32">
        <f>IF(8&gt;$B$5+$B$6+$B$7,"",IF((C130+D130+E130+F130)=0,0,(C130+D130)/(C130+D130+E130+F130)*100))</f>
        <v/>
      </c>
      <c r="I130" s="32">
        <f>IF(8&gt;$B$5+$B$6+$B$7,"",IF((C130+D130+E130+F130)=0,0,F130/(C130+D130+E130+F130)*100))</f>
        <v/>
      </c>
    </row>
    <row r="131">
      <c r="A131" s="28" t="n">
        <v>9</v>
      </c>
      <c r="B131" s="28">
        <f>IF(9&gt;$B$5+$B$6+$B$7,"—",IF(9&lt;=$B$6,"Extraction",IF(9&lt;=$B$6+$B$7,"Scrub","Strip")))</f>
        <v/>
      </c>
      <c r="C131" s="31">
        <f>IF(9&gt;$B$5+$B$6+$B$7,"",AI28)</f>
        <v/>
      </c>
      <c r="D131" s="31">
        <f>IF(9&gt;$B$5+$B$6+$B$7,"",AJ28)</f>
        <v/>
      </c>
      <c r="E131" s="31">
        <f>IF(9&gt;$B$5+$B$6+$B$7,"",AK28)</f>
        <v/>
      </c>
      <c r="F131" s="31">
        <f>IF(9&gt;$B$5+$B$6+$B$7,"",AL28)</f>
        <v/>
      </c>
      <c r="G131" s="31">
        <f>IF(9&gt;$B$5+$B$6+$B$7,"",C131+D131)</f>
        <v/>
      </c>
      <c r="H131" s="32">
        <f>IF(9&gt;$B$5+$B$6+$B$7,"",IF((C131+D131+E131+F131)=0,0,(C131+D131)/(C131+D131+E131+F131)*100))</f>
        <v/>
      </c>
      <c r="I131" s="32">
        <f>IF(9&gt;$B$5+$B$6+$B$7,"",IF((C131+D131+E131+F131)=0,0,F131/(C131+D131+E131+F131)*100))</f>
        <v/>
      </c>
    </row>
    <row r="132">
      <c r="A132" s="28" t="n">
        <v>10</v>
      </c>
      <c r="B132" s="28">
        <f>IF(10&gt;$B$5+$B$6+$B$7,"—",IF(10&lt;=$B$6,"Extraction",IF(10&lt;=$B$6+$B$7,"Scrub","Strip")))</f>
        <v/>
      </c>
      <c r="C132" s="31">
        <f>IF(10&gt;$B$5+$B$6+$B$7,"",AI29)</f>
        <v/>
      </c>
      <c r="D132" s="31">
        <f>IF(10&gt;$B$5+$B$6+$B$7,"",AJ29)</f>
        <v/>
      </c>
      <c r="E132" s="31">
        <f>IF(10&gt;$B$5+$B$6+$B$7,"",AK29)</f>
        <v/>
      </c>
      <c r="F132" s="31">
        <f>IF(10&gt;$B$5+$B$6+$B$7,"",AL29)</f>
        <v/>
      </c>
      <c r="G132" s="31">
        <f>IF(10&gt;$B$5+$B$6+$B$7,"",C132+D132)</f>
        <v/>
      </c>
      <c r="H132" s="32">
        <f>IF(10&gt;$B$5+$B$6+$B$7,"",IF((C132+D132+E132+F132)=0,0,(C132+D132)/(C132+D132+E132+F132)*100))</f>
        <v/>
      </c>
      <c r="I132" s="32">
        <f>IF(10&gt;$B$5+$B$6+$B$7,"",IF((C132+D132+E132+F132)=0,0,F132/(C132+D132+E132+F132)*100))</f>
        <v/>
      </c>
    </row>
    <row r="133">
      <c r="A133" s="28" t="n">
        <v>11</v>
      </c>
      <c r="B133" s="28">
        <f>IF(11&gt;$B$5+$B$6+$B$7,"—",IF(11&lt;=$B$6,"Extraction",IF(11&lt;=$B$6+$B$7,"Scrub","Strip")))</f>
        <v/>
      </c>
      <c r="C133" s="31">
        <f>IF(11&gt;$B$5+$B$6+$B$7,"",AI30)</f>
        <v/>
      </c>
      <c r="D133" s="31">
        <f>IF(11&gt;$B$5+$B$6+$B$7,"",AJ30)</f>
        <v/>
      </c>
      <c r="E133" s="31">
        <f>IF(11&gt;$B$5+$B$6+$B$7,"",AK30)</f>
        <v/>
      </c>
      <c r="F133" s="31">
        <f>IF(11&gt;$B$5+$B$6+$B$7,"",AL30)</f>
        <v/>
      </c>
      <c r="G133" s="31">
        <f>IF(11&gt;$B$5+$B$6+$B$7,"",C133+D133)</f>
        <v/>
      </c>
      <c r="H133" s="32">
        <f>IF(11&gt;$B$5+$B$6+$B$7,"",IF((C133+D133+E133+F133)=0,0,(C133+D133)/(C133+D133+E133+F133)*100))</f>
        <v/>
      </c>
      <c r="I133" s="32">
        <f>IF(11&gt;$B$5+$B$6+$B$7,"",IF((C133+D133+E133+F133)=0,0,F133/(C133+D133+E133+F133)*100))</f>
        <v/>
      </c>
    </row>
    <row r="134">
      <c r="A134" s="28" t="n">
        <v>12</v>
      </c>
      <c r="B134" s="28">
        <f>IF(12&gt;$B$5+$B$6+$B$7,"—",IF(12&lt;=$B$6,"Extraction",IF(12&lt;=$B$6+$B$7,"Scrub","Strip")))</f>
        <v/>
      </c>
      <c r="C134" s="31">
        <f>IF(12&gt;$B$5+$B$6+$B$7,"",AI31)</f>
        <v/>
      </c>
      <c r="D134" s="31">
        <f>IF(12&gt;$B$5+$B$6+$B$7,"",AJ31)</f>
        <v/>
      </c>
      <c r="E134" s="31">
        <f>IF(12&gt;$B$5+$B$6+$B$7,"",AK31)</f>
        <v/>
      </c>
      <c r="F134" s="31">
        <f>IF(12&gt;$B$5+$B$6+$B$7,"",AL31)</f>
        <v/>
      </c>
      <c r="G134" s="31">
        <f>IF(12&gt;$B$5+$B$6+$B$7,"",C134+D134)</f>
        <v/>
      </c>
      <c r="H134" s="32">
        <f>IF(12&gt;$B$5+$B$6+$B$7,"",IF((C134+D134+E134+F134)=0,0,(C134+D134)/(C134+D134+E134+F134)*100))</f>
        <v/>
      </c>
      <c r="I134" s="32">
        <f>IF(12&gt;$B$5+$B$6+$B$7,"",IF((C134+D134+E134+F134)=0,0,F134/(C134+D134+E134+F134)*100))</f>
        <v/>
      </c>
    </row>
    <row r="135">
      <c r="A135" s="28" t="n">
        <v>13</v>
      </c>
      <c r="B135" s="28">
        <f>IF(13&gt;$B$5+$B$6+$B$7,"—",IF(13&lt;=$B$6,"Extraction",IF(13&lt;=$B$6+$B$7,"Scrub","Strip")))</f>
        <v/>
      </c>
      <c r="C135" s="31">
        <f>IF(13&gt;$B$5+$B$6+$B$7,"",AI32)</f>
        <v/>
      </c>
      <c r="D135" s="31">
        <f>IF(13&gt;$B$5+$B$6+$B$7,"",AJ32)</f>
        <v/>
      </c>
      <c r="E135" s="31">
        <f>IF(13&gt;$B$5+$B$6+$B$7,"",AK32)</f>
        <v/>
      </c>
      <c r="F135" s="31">
        <f>IF(13&gt;$B$5+$B$6+$B$7,"",AL32)</f>
        <v/>
      </c>
      <c r="G135" s="31">
        <f>IF(13&gt;$B$5+$B$6+$B$7,"",C135+D135)</f>
        <v/>
      </c>
      <c r="H135" s="32">
        <f>IF(13&gt;$B$5+$B$6+$B$7,"",IF((C135+D135+E135+F135)=0,0,(C135+D135)/(C135+D135+E135+F135)*100))</f>
        <v/>
      </c>
      <c r="I135" s="32">
        <f>IF(13&gt;$B$5+$B$6+$B$7,"",IF((C135+D135+E135+F135)=0,0,F135/(C135+D135+E135+F135)*100))</f>
        <v/>
      </c>
    </row>
    <row r="136">
      <c r="A136" s="28" t="n">
        <v>14</v>
      </c>
      <c r="B136" s="28">
        <f>IF(14&gt;$B$5+$B$6+$B$7,"—",IF(14&lt;=$B$6,"Extraction",IF(14&lt;=$B$6+$B$7,"Scrub","Strip")))</f>
        <v/>
      </c>
      <c r="C136" s="31">
        <f>IF(14&gt;$B$5+$B$6+$B$7,"",AI33)</f>
        <v/>
      </c>
      <c r="D136" s="31">
        <f>IF(14&gt;$B$5+$B$6+$B$7,"",AJ33)</f>
        <v/>
      </c>
      <c r="E136" s="31">
        <f>IF(14&gt;$B$5+$B$6+$B$7,"",AK33)</f>
        <v/>
      </c>
      <c r="F136" s="31">
        <f>IF(14&gt;$B$5+$B$6+$B$7,"",AL33)</f>
        <v/>
      </c>
      <c r="G136" s="31">
        <f>IF(14&gt;$B$5+$B$6+$B$7,"",C136+D136)</f>
        <v/>
      </c>
      <c r="H136" s="32">
        <f>IF(14&gt;$B$5+$B$6+$B$7,"",IF((C136+D136+E136+F136)=0,0,(C136+D136)/(C136+D136+E136+F136)*100))</f>
        <v/>
      </c>
      <c r="I136" s="32">
        <f>IF(14&gt;$B$5+$B$6+$B$7,"",IF((C136+D136+E136+F136)=0,0,F136/(C136+D136+E136+F136)*100))</f>
        <v/>
      </c>
    </row>
    <row r="137">
      <c r="A137" s="28" t="n">
        <v>15</v>
      </c>
      <c r="B137" s="28">
        <f>IF(15&gt;$B$5+$B$6+$B$7,"—",IF(15&lt;=$B$6,"Extraction",IF(15&lt;=$B$6+$B$7,"Scrub","Strip")))</f>
        <v/>
      </c>
      <c r="C137" s="31">
        <f>IF(15&gt;$B$5+$B$6+$B$7,"",AI34)</f>
        <v/>
      </c>
      <c r="D137" s="31">
        <f>IF(15&gt;$B$5+$B$6+$B$7,"",AJ34)</f>
        <v/>
      </c>
      <c r="E137" s="31">
        <f>IF(15&gt;$B$5+$B$6+$B$7,"",AK34)</f>
        <v/>
      </c>
      <c r="F137" s="31">
        <f>IF(15&gt;$B$5+$B$6+$B$7,"",AL34)</f>
        <v/>
      </c>
      <c r="G137" s="31">
        <f>IF(15&gt;$B$5+$B$6+$B$7,"",C137+D137)</f>
        <v/>
      </c>
      <c r="H137" s="32">
        <f>IF(15&gt;$B$5+$B$6+$B$7,"",IF((C137+D137+E137+F137)=0,0,(C137+D137)/(C137+D137+E137+F137)*100))</f>
        <v/>
      </c>
      <c r="I137" s="32">
        <f>IF(15&gt;$B$5+$B$6+$B$7,"",IF((C137+D137+E137+F137)=0,0,F137/(C137+D137+E137+F137)*100))</f>
        <v/>
      </c>
    </row>
    <row r="138">
      <c r="A138" s="28" t="n">
        <v>16</v>
      </c>
      <c r="B138" s="28">
        <f>IF(16&gt;$B$5+$B$6+$B$7,"—",IF(16&lt;=$B$6,"Extraction",IF(16&lt;=$B$6+$B$7,"Scrub","Strip")))</f>
        <v/>
      </c>
      <c r="C138" s="31">
        <f>IF(16&gt;$B$5+$B$6+$B$7,"",AI35)</f>
        <v/>
      </c>
      <c r="D138" s="31">
        <f>IF(16&gt;$B$5+$B$6+$B$7,"",AJ35)</f>
        <v/>
      </c>
      <c r="E138" s="31">
        <f>IF(16&gt;$B$5+$B$6+$B$7,"",AK35)</f>
        <v/>
      </c>
      <c r="F138" s="31">
        <f>IF(16&gt;$B$5+$B$6+$B$7,"",AL35)</f>
        <v/>
      </c>
      <c r="G138" s="31">
        <f>IF(16&gt;$B$5+$B$6+$B$7,"",C138+D138)</f>
        <v/>
      </c>
      <c r="H138" s="32">
        <f>IF(16&gt;$B$5+$B$6+$B$7,"",IF((C138+D138+E138+F138)=0,0,(C138+D138)/(C138+D138+E138+F138)*100))</f>
        <v/>
      </c>
      <c r="I138" s="32">
        <f>IF(16&gt;$B$5+$B$6+$B$7,"",IF((C138+D138+E138+F138)=0,0,F138/(C138+D138+E138+F138)*100))</f>
        <v/>
      </c>
    </row>
    <row r="139">
      <c r="A139" s="28" t="n">
        <v>17</v>
      </c>
      <c r="B139" s="28">
        <f>IF(17&gt;$B$5+$B$6+$B$7,"—",IF(17&lt;=$B$6,"Extraction",IF(17&lt;=$B$6+$B$7,"Scrub","Strip")))</f>
        <v/>
      </c>
      <c r="C139" s="31">
        <f>IF(17&gt;$B$5+$B$6+$B$7,"",AI36)</f>
        <v/>
      </c>
      <c r="D139" s="31">
        <f>IF(17&gt;$B$5+$B$6+$B$7,"",AJ36)</f>
        <v/>
      </c>
      <c r="E139" s="31">
        <f>IF(17&gt;$B$5+$B$6+$B$7,"",AK36)</f>
        <v/>
      </c>
      <c r="F139" s="31">
        <f>IF(17&gt;$B$5+$B$6+$B$7,"",AL36)</f>
        <v/>
      </c>
      <c r="G139" s="31">
        <f>IF(17&gt;$B$5+$B$6+$B$7,"",C139+D139)</f>
        <v/>
      </c>
      <c r="H139" s="32">
        <f>IF(17&gt;$B$5+$B$6+$B$7,"",IF((C139+D139+E139+F139)=0,0,(C139+D139)/(C139+D139+E139+F139)*100))</f>
        <v/>
      </c>
      <c r="I139" s="32">
        <f>IF(17&gt;$B$5+$B$6+$B$7,"",IF((C139+D139+E139+F139)=0,0,F139/(C139+D139+E139+F139)*100))</f>
        <v/>
      </c>
    </row>
    <row r="140">
      <c r="A140" s="28" t="n">
        <v>18</v>
      </c>
      <c r="B140" s="28">
        <f>IF(18&gt;$B$5+$B$6+$B$7,"—",IF(18&lt;=$B$6,"Extraction",IF(18&lt;=$B$6+$B$7,"Scrub","Strip")))</f>
        <v/>
      </c>
      <c r="C140" s="31">
        <f>IF(18&gt;$B$5+$B$6+$B$7,"",AI37)</f>
        <v/>
      </c>
      <c r="D140" s="31">
        <f>IF(18&gt;$B$5+$B$6+$B$7,"",AJ37)</f>
        <v/>
      </c>
      <c r="E140" s="31">
        <f>IF(18&gt;$B$5+$B$6+$B$7,"",AK37)</f>
        <v/>
      </c>
      <c r="F140" s="31">
        <f>IF(18&gt;$B$5+$B$6+$B$7,"",AL37)</f>
        <v/>
      </c>
      <c r="G140" s="31">
        <f>IF(18&gt;$B$5+$B$6+$B$7,"",C140+D140)</f>
        <v/>
      </c>
      <c r="H140" s="32">
        <f>IF(18&gt;$B$5+$B$6+$B$7,"",IF((C140+D140+E140+F140)=0,0,(C140+D140)/(C140+D140+E140+F140)*100))</f>
        <v/>
      </c>
      <c r="I140" s="32">
        <f>IF(18&gt;$B$5+$B$6+$B$7,"",IF((C140+D140+E140+F140)=0,0,F140/(C140+D140+E140+F140)*100))</f>
        <v/>
      </c>
    </row>
    <row r="141">
      <c r="A141" s="28" t="n">
        <v>19</v>
      </c>
      <c r="B141" s="28">
        <f>IF(19&gt;$B$5+$B$6+$B$7,"—",IF(19&lt;=$B$6,"Extraction",IF(19&lt;=$B$6+$B$7,"Scrub","Strip")))</f>
        <v/>
      </c>
      <c r="C141" s="31">
        <f>IF(19&gt;$B$5+$B$6+$B$7,"",AI38)</f>
        <v/>
      </c>
      <c r="D141" s="31">
        <f>IF(19&gt;$B$5+$B$6+$B$7,"",AJ38)</f>
        <v/>
      </c>
      <c r="E141" s="31">
        <f>IF(19&gt;$B$5+$B$6+$B$7,"",AK38)</f>
        <v/>
      </c>
      <c r="F141" s="31">
        <f>IF(19&gt;$B$5+$B$6+$B$7,"",AL38)</f>
        <v/>
      </c>
      <c r="G141" s="31">
        <f>IF(19&gt;$B$5+$B$6+$B$7,"",C141+D141)</f>
        <v/>
      </c>
      <c r="H141" s="32">
        <f>IF(19&gt;$B$5+$B$6+$B$7,"",IF((C141+D141+E141+F141)=0,0,(C141+D141)/(C141+D141+E141+F141)*100))</f>
        <v/>
      </c>
      <c r="I141" s="32">
        <f>IF(19&gt;$B$5+$B$6+$B$7,"",IF((C141+D141+E141+F141)=0,0,F141/(C141+D141+E141+F141)*100))</f>
        <v/>
      </c>
    </row>
    <row r="142">
      <c r="A142" s="28" t="n">
        <v>20</v>
      </c>
      <c r="B142" s="28">
        <f>IF(20&gt;$B$5+$B$6+$B$7,"—",IF(20&lt;=$B$6,"Extraction",IF(20&lt;=$B$6+$B$7,"Scrub","Strip")))</f>
        <v/>
      </c>
      <c r="C142" s="31">
        <f>IF(20&gt;$B$5+$B$6+$B$7,"",AI39)</f>
        <v/>
      </c>
      <c r="D142" s="31">
        <f>IF(20&gt;$B$5+$B$6+$B$7,"",AJ39)</f>
        <v/>
      </c>
      <c r="E142" s="31">
        <f>IF(20&gt;$B$5+$B$6+$B$7,"",AK39)</f>
        <v/>
      </c>
      <c r="F142" s="31">
        <f>IF(20&gt;$B$5+$B$6+$B$7,"",AL39)</f>
        <v/>
      </c>
      <c r="G142" s="31">
        <f>IF(20&gt;$B$5+$B$6+$B$7,"",C142+D142)</f>
        <v/>
      </c>
      <c r="H142" s="32">
        <f>IF(20&gt;$B$5+$B$6+$B$7,"",IF((C142+D142+E142+F142)=0,0,(C142+D142)/(C142+D142+E142+F142)*100))</f>
        <v/>
      </c>
      <c r="I142" s="32">
        <f>IF(20&gt;$B$5+$B$6+$B$7,"",IF((C142+D142+E142+F142)=0,0,F142/(C142+D142+E142+F142)*100))</f>
        <v/>
      </c>
    </row>
    <row r="143">
      <c r="A143" s="28" t="n">
        <v>21</v>
      </c>
      <c r="B143" s="28">
        <f>IF(21&gt;$B$5+$B$6+$B$7,"—",IF(21&lt;=$B$6,"Extraction",IF(21&lt;=$B$6+$B$7,"Scrub","Strip")))</f>
        <v/>
      </c>
      <c r="C143" s="31">
        <f>IF(21&gt;$B$5+$B$6+$B$7,"",AI40)</f>
        <v/>
      </c>
      <c r="D143" s="31">
        <f>IF(21&gt;$B$5+$B$6+$B$7,"",AJ40)</f>
        <v/>
      </c>
      <c r="E143" s="31">
        <f>IF(21&gt;$B$5+$B$6+$B$7,"",AK40)</f>
        <v/>
      </c>
      <c r="F143" s="31">
        <f>IF(21&gt;$B$5+$B$6+$B$7,"",AL40)</f>
        <v/>
      </c>
      <c r="G143" s="31">
        <f>IF(21&gt;$B$5+$B$6+$B$7,"",C143+D143)</f>
        <v/>
      </c>
      <c r="H143" s="32">
        <f>IF(21&gt;$B$5+$B$6+$B$7,"",IF((C143+D143+E143+F143)=0,0,(C143+D143)/(C143+D143+E143+F143)*100))</f>
        <v/>
      </c>
      <c r="I143" s="32">
        <f>IF(21&gt;$B$5+$B$6+$B$7,"",IF((C143+D143+E143+F143)=0,0,F143/(C143+D143+E143+F143)*100))</f>
        <v/>
      </c>
    </row>
    <row r="144">
      <c r="A144" s="28" t="n">
        <v>22</v>
      </c>
      <c r="B144" s="28">
        <f>IF(22&gt;$B$5+$B$6+$B$7,"—",IF(22&lt;=$B$6,"Extraction",IF(22&lt;=$B$6+$B$7,"Scrub","Strip")))</f>
        <v/>
      </c>
      <c r="C144" s="31">
        <f>IF(22&gt;$B$5+$B$6+$B$7,"",AI41)</f>
        <v/>
      </c>
      <c r="D144" s="31">
        <f>IF(22&gt;$B$5+$B$6+$B$7,"",AJ41)</f>
        <v/>
      </c>
      <c r="E144" s="31">
        <f>IF(22&gt;$B$5+$B$6+$B$7,"",AK41)</f>
        <v/>
      </c>
      <c r="F144" s="31">
        <f>IF(22&gt;$B$5+$B$6+$B$7,"",AL41)</f>
        <v/>
      </c>
      <c r="G144" s="31">
        <f>IF(22&gt;$B$5+$B$6+$B$7,"",C144+D144)</f>
        <v/>
      </c>
      <c r="H144" s="32">
        <f>IF(22&gt;$B$5+$B$6+$B$7,"",IF((C144+D144+E144+F144)=0,0,(C144+D144)/(C144+D144+E144+F144)*100))</f>
        <v/>
      </c>
      <c r="I144" s="32">
        <f>IF(22&gt;$B$5+$B$6+$B$7,"",IF((C144+D144+E144+F144)=0,0,F144/(C144+D144+E144+F144)*100))</f>
        <v/>
      </c>
    </row>
    <row r="145">
      <c r="A145" s="28" t="n">
        <v>23</v>
      </c>
      <c r="B145" s="28">
        <f>IF(23&gt;$B$5+$B$6+$B$7,"—",IF(23&lt;=$B$6,"Extraction",IF(23&lt;=$B$6+$B$7,"Scrub","Strip")))</f>
        <v/>
      </c>
      <c r="C145" s="31">
        <f>IF(23&gt;$B$5+$B$6+$B$7,"",AI42)</f>
        <v/>
      </c>
      <c r="D145" s="31">
        <f>IF(23&gt;$B$5+$B$6+$B$7,"",AJ42)</f>
        <v/>
      </c>
      <c r="E145" s="31">
        <f>IF(23&gt;$B$5+$B$6+$B$7,"",AK42)</f>
        <v/>
      </c>
      <c r="F145" s="31">
        <f>IF(23&gt;$B$5+$B$6+$B$7,"",AL42)</f>
        <v/>
      </c>
      <c r="G145" s="31">
        <f>IF(23&gt;$B$5+$B$6+$B$7,"",C145+D145)</f>
        <v/>
      </c>
      <c r="H145" s="32">
        <f>IF(23&gt;$B$5+$B$6+$B$7,"",IF((C145+D145+E145+F145)=0,0,(C145+D145)/(C145+D145+E145+F145)*100))</f>
        <v/>
      </c>
      <c r="I145" s="32">
        <f>IF(23&gt;$B$5+$B$6+$B$7,"",IF((C145+D145+E145+F145)=0,0,F145/(C145+D145+E145+F145)*100))</f>
        <v/>
      </c>
    </row>
    <row r="146">
      <c r="A146" s="28" t="n">
        <v>24</v>
      </c>
      <c r="B146" s="28">
        <f>IF(24&gt;$B$5+$B$6+$B$7,"—",IF(24&lt;=$B$6,"Extraction",IF(24&lt;=$B$6+$B$7,"Scrub","Strip")))</f>
        <v/>
      </c>
      <c r="C146" s="31">
        <f>IF(24&gt;$B$5+$B$6+$B$7,"",AI43)</f>
        <v/>
      </c>
      <c r="D146" s="31">
        <f>IF(24&gt;$B$5+$B$6+$B$7,"",AJ43)</f>
        <v/>
      </c>
      <c r="E146" s="31">
        <f>IF(24&gt;$B$5+$B$6+$B$7,"",AK43)</f>
        <v/>
      </c>
      <c r="F146" s="31">
        <f>IF(24&gt;$B$5+$B$6+$B$7,"",AL43)</f>
        <v/>
      </c>
      <c r="G146" s="31">
        <f>IF(24&gt;$B$5+$B$6+$B$7,"",C146+D146)</f>
        <v/>
      </c>
      <c r="H146" s="32">
        <f>IF(24&gt;$B$5+$B$6+$B$7,"",IF((C146+D146+E146+F146)=0,0,(C146+D146)/(C146+D146+E146+F146)*100))</f>
        <v/>
      </c>
      <c r="I146" s="32">
        <f>IF(24&gt;$B$5+$B$6+$B$7,"",IF((C146+D146+E146+F146)=0,0,F146/(C146+D146+E146+F146)*100))</f>
        <v/>
      </c>
    </row>
    <row r="147">
      <c r="A147" s="28" t="n">
        <v>25</v>
      </c>
      <c r="B147" s="28">
        <f>IF(25&gt;$B$5+$B$6+$B$7,"—",IF(25&lt;=$B$6,"Extraction",IF(25&lt;=$B$6+$B$7,"Scrub","Strip")))</f>
        <v/>
      </c>
      <c r="C147" s="31">
        <f>IF(25&gt;$B$5+$B$6+$B$7,"",AI44)</f>
        <v/>
      </c>
      <c r="D147" s="31">
        <f>IF(25&gt;$B$5+$B$6+$B$7,"",AJ44)</f>
        <v/>
      </c>
      <c r="E147" s="31">
        <f>IF(25&gt;$B$5+$B$6+$B$7,"",AK44)</f>
        <v/>
      </c>
      <c r="F147" s="31">
        <f>IF(25&gt;$B$5+$B$6+$B$7,"",AL44)</f>
        <v/>
      </c>
      <c r="G147" s="31">
        <f>IF(25&gt;$B$5+$B$6+$B$7,"",C147+D147)</f>
        <v/>
      </c>
      <c r="H147" s="32">
        <f>IF(25&gt;$B$5+$B$6+$B$7,"",IF((C147+D147+E147+F147)=0,0,(C147+D147)/(C147+D147+E147+F147)*100))</f>
        <v/>
      </c>
      <c r="I147" s="32">
        <f>IF(25&gt;$B$5+$B$6+$B$7,"",IF((C147+D147+E147+F147)=0,0,F147/(C147+D147+E147+F147)*100))</f>
        <v/>
      </c>
    </row>
    <row r="148">
      <c r="A148" s="28" t="n">
        <v>26</v>
      </c>
      <c r="B148" s="28">
        <f>IF(26&gt;$B$5+$B$6+$B$7,"—",IF(26&lt;=$B$6,"Extraction",IF(26&lt;=$B$6+$B$7,"Scrub","Strip")))</f>
        <v/>
      </c>
      <c r="C148" s="31">
        <f>IF(26&gt;$B$5+$B$6+$B$7,"",AI45)</f>
        <v/>
      </c>
      <c r="D148" s="31">
        <f>IF(26&gt;$B$5+$B$6+$B$7,"",AJ45)</f>
        <v/>
      </c>
      <c r="E148" s="31">
        <f>IF(26&gt;$B$5+$B$6+$B$7,"",AK45)</f>
        <v/>
      </c>
      <c r="F148" s="31">
        <f>IF(26&gt;$B$5+$B$6+$B$7,"",AL45)</f>
        <v/>
      </c>
      <c r="G148" s="31">
        <f>IF(26&gt;$B$5+$B$6+$B$7,"",C148+D148)</f>
        <v/>
      </c>
      <c r="H148" s="32">
        <f>IF(26&gt;$B$5+$B$6+$B$7,"",IF((C148+D148+E148+F148)=0,0,(C148+D148)/(C148+D148+E148+F148)*100))</f>
        <v/>
      </c>
      <c r="I148" s="32">
        <f>IF(26&gt;$B$5+$B$6+$B$7,"",IF((C148+D148+E148+F148)=0,0,F148/(C148+D148+E148+F148)*100))</f>
        <v/>
      </c>
    </row>
    <row r="149">
      <c r="A149" s="28" t="n">
        <v>27</v>
      </c>
      <c r="B149" s="28">
        <f>IF(27&gt;$B$5+$B$6+$B$7,"—",IF(27&lt;=$B$6,"Extraction",IF(27&lt;=$B$6+$B$7,"Scrub","Strip")))</f>
        <v/>
      </c>
      <c r="C149" s="31">
        <f>IF(27&gt;$B$5+$B$6+$B$7,"",AI46)</f>
        <v/>
      </c>
      <c r="D149" s="31">
        <f>IF(27&gt;$B$5+$B$6+$B$7,"",AJ46)</f>
        <v/>
      </c>
      <c r="E149" s="31">
        <f>IF(27&gt;$B$5+$B$6+$B$7,"",AK46)</f>
        <v/>
      </c>
      <c r="F149" s="31">
        <f>IF(27&gt;$B$5+$B$6+$B$7,"",AL46)</f>
        <v/>
      </c>
      <c r="G149" s="31">
        <f>IF(27&gt;$B$5+$B$6+$B$7,"",C149+D149)</f>
        <v/>
      </c>
      <c r="H149" s="32">
        <f>IF(27&gt;$B$5+$B$6+$B$7,"",IF((C149+D149+E149+F149)=0,0,(C149+D149)/(C149+D149+E149+F149)*100))</f>
        <v/>
      </c>
      <c r="I149" s="32">
        <f>IF(27&gt;$B$5+$B$6+$B$7,"",IF((C149+D149+E149+F149)=0,0,F149/(C149+D149+E149+F149)*100))</f>
        <v/>
      </c>
    </row>
    <row r="150">
      <c r="A150" s="28" t="n">
        <v>28</v>
      </c>
      <c r="B150" s="28">
        <f>IF(28&gt;$B$5+$B$6+$B$7,"—",IF(28&lt;=$B$6,"Extraction",IF(28&lt;=$B$6+$B$7,"Scrub","Strip")))</f>
        <v/>
      </c>
      <c r="C150" s="31">
        <f>IF(28&gt;$B$5+$B$6+$B$7,"",AI47)</f>
        <v/>
      </c>
      <c r="D150" s="31">
        <f>IF(28&gt;$B$5+$B$6+$B$7,"",AJ47)</f>
        <v/>
      </c>
      <c r="E150" s="31">
        <f>IF(28&gt;$B$5+$B$6+$B$7,"",AK47)</f>
        <v/>
      </c>
      <c r="F150" s="31">
        <f>IF(28&gt;$B$5+$B$6+$B$7,"",AL47)</f>
        <v/>
      </c>
      <c r="G150" s="31">
        <f>IF(28&gt;$B$5+$B$6+$B$7,"",C150+D150)</f>
        <v/>
      </c>
      <c r="H150" s="32">
        <f>IF(28&gt;$B$5+$B$6+$B$7,"",IF((C150+D150+E150+F150)=0,0,(C150+D150)/(C150+D150+E150+F150)*100))</f>
        <v/>
      </c>
      <c r="I150" s="32">
        <f>IF(28&gt;$B$5+$B$6+$B$7,"",IF((C150+D150+E150+F150)=0,0,F150/(C150+D150+E150+F150)*100))</f>
        <v/>
      </c>
    </row>
    <row r="151">
      <c r="A151" s="28" t="n">
        <v>29</v>
      </c>
      <c r="B151" s="28">
        <f>IF(29&gt;$B$5+$B$6+$B$7,"—",IF(29&lt;=$B$6,"Extraction",IF(29&lt;=$B$6+$B$7,"Scrub","Strip")))</f>
        <v/>
      </c>
      <c r="C151" s="31">
        <f>IF(29&gt;$B$5+$B$6+$B$7,"",AI48)</f>
        <v/>
      </c>
      <c r="D151" s="31">
        <f>IF(29&gt;$B$5+$B$6+$B$7,"",AJ48)</f>
        <v/>
      </c>
      <c r="E151" s="31">
        <f>IF(29&gt;$B$5+$B$6+$B$7,"",AK48)</f>
        <v/>
      </c>
      <c r="F151" s="31">
        <f>IF(29&gt;$B$5+$B$6+$B$7,"",AL48)</f>
        <v/>
      </c>
      <c r="G151" s="31">
        <f>IF(29&gt;$B$5+$B$6+$B$7,"",C151+D151)</f>
        <v/>
      </c>
      <c r="H151" s="32">
        <f>IF(29&gt;$B$5+$B$6+$B$7,"",IF((C151+D151+E151+F151)=0,0,(C151+D151)/(C151+D151+E151+F151)*100))</f>
        <v/>
      </c>
      <c r="I151" s="32">
        <f>IF(29&gt;$B$5+$B$6+$B$7,"",IF((C151+D151+E151+F151)=0,0,F151/(C151+D151+E151+F151)*100))</f>
        <v/>
      </c>
    </row>
    <row r="152">
      <c r="A152" s="28" t="n">
        <v>30</v>
      </c>
      <c r="B152" s="28">
        <f>IF(30&gt;$B$5+$B$6+$B$7,"—",IF(30&lt;=$B$6,"Extraction",IF(30&lt;=$B$6+$B$7,"Scrub","Strip")))</f>
        <v/>
      </c>
      <c r="C152" s="31">
        <f>IF(30&gt;$B$5+$B$6+$B$7,"",AI49)</f>
        <v/>
      </c>
      <c r="D152" s="31">
        <f>IF(30&gt;$B$5+$B$6+$B$7,"",AJ49)</f>
        <v/>
      </c>
      <c r="E152" s="31">
        <f>IF(30&gt;$B$5+$B$6+$B$7,"",AK49)</f>
        <v/>
      </c>
      <c r="F152" s="31">
        <f>IF(30&gt;$B$5+$B$6+$B$7,"",AL49)</f>
        <v/>
      </c>
      <c r="G152" s="31">
        <f>IF(30&gt;$B$5+$B$6+$B$7,"",C152+D152)</f>
        <v/>
      </c>
      <c r="H152" s="32">
        <f>IF(30&gt;$B$5+$B$6+$B$7,"",IF((C152+D152+E152+F152)=0,0,(C152+D152)/(C152+D152+E152+F152)*100))</f>
        <v/>
      </c>
      <c r="I152" s="32">
        <f>IF(30&gt;$B$5+$B$6+$B$7,"",IF((C152+D152+E152+F152)=0,0,F152/(C152+D152+E152+F152)*100))</f>
        <v/>
      </c>
    </row>
    <row r="153">
      <c r="A153" s="28" t="n">
        <v>31</v>
      </c>
      <c r="B153" s="28">
        <f>IF(31&gt;$B$5+$B$6+$B$7,"—",IF(31&lt;=$B$6,"Extraction",IF(31&lt;=$B$6+$B$7,"Scrub","Strip")))</f>
        <v/>
      </c>
      <c r="C153" s="31">
        <f>IF(31&gt;$B$5+$B$6+$B$7,"",AI50)</f>
        <v/>
      </c>
      <c r="D153" s="31">
        <f>IF(31&gt;$B$5+$B$6+$B$7,"",AJ50)</f>
        <v/>
      </c>
      <c r="E153" s="31">
        <f>IF(31&gt;$B$5+$B$6+$B$7,"",AK50)</f>
        <v/>
      </c>
      <c r="F153" s="31">
        <f>IF(31&gt;$B$5+$B$6+$B$7,"",AL50)</f>
        <v/>
      </c>
      <c r="G153" s="31">
        <f>IF(31&gt;$B$5+$B$6+$B$7,"",C153+D153)</f>
        <v/>
      </c>
      <c r="H153" s="32">
        <f>IF(31&gt;$B$5+$B$6+$B$7,"",IF((C153+D153+E153+F153)=0,0,(C153+D153)/(C153+D153+E153+F153)*100))</f>
        <v/>
      </c>
      <c r="I153" s="32">
        <f>IF(31&gt;$B$5+$B$6+$B$7,"",IF((C153+D153+E153+F153)=0,0,F153/(C153+D153+E153+F153)*100))</f>
        <v/>
      </c>
    </row>
    <row r="154">
      <c r="A154" s="28" t="n">
        <v>32</v>
      </c>
      <c r="B154" s="28">
        <f>IF(32&gt;$B$5+$B$6+$B$7,"—",IF(32&lt;=$B$6,"Extraction",IF(32&lt;=$B$6+$B$7,"Scrub","Strip")))</f>
        <v/>
      </c>
      <c r="C154" s="31">
        <f>IF(32&gt;$B$5+$B$6+$B$7,"",AI51)</f>
        <v/>
      </c>
      <c r="D154" s="31">
        <f>IF(32&gt;$B$5+$B$6+$B$7,"",AJ51)</f>
        <v/>
      </c>
      <c r="E154" s="31">
        <f>IF(32&gt;$B$5+$B$6+$B$7,"",AK51)</f>
        <v/>
      </c>
      <c r="F154" s="31">
        <f>IF(32&gt;$B$5+$B$6+$B$7,"",AL51)</f>
        <v/>
      </c>
      <c r="G154" s="31">
        <f>IF(32&gt;$B$5+$B$6+$B$7,"",C154+D154)</f>
        <v/>
      </c>
      <c r="H154" s="32">
        <f>IF(32&gt;$B$5+$B$6+$B$7,"",IF((C154+D154+E154+F154)=0,0,(C154+D154)/(C154+D154+E154+F154)*100))</f>
        <v/>
      </c>
      <c r="I154" s="32">
        <f>IF(32&gt;$B$5+$B$6+$B$7,"",IF((C154+D154+E154+F154)=0,0,F154/(C154+D154+E154+F154)*100))</f>
        <v/>
      </c>
    </row>
    <row r="155">
      <c r="A155" s="28" t="n">
        <v>33</v>
      </c>
      <c r="B155" s="28">
        <f>IF(33&gt;$B$5+$B$6+$B$7,"—",IF(33&lt;=$B$6,"Extraction",IF(33&lt;=$B$6+$B$7,"Scrub","Strip")))</f>
        <v/>
      </c>
      <c r="C155" s="31">
        <f>IF(33&gt;$B$5+$B$6+$B$7,"",AI52)</f>
        <v/>
      </c>
      <c r="D155" s="31">
        <f>IF(33&gt;$B$5+$B$6+$B$7,"",AJ52)</f>
        <v/>
      </c>
      <c r="E155" s="31">
        <f>IF(33&gt;$B$5+$B$6+$B$7,"",AK52)</f>
        <v/>
      </c>
      <c r="F155" s="31">
        <f>IF(33&gt;$B$5+$B$6+$B$7,"",AL52)</f>
        <v/>
      </c>
      <c r="G155" s="31">
        <f>IF(33&gt;$B$5+$B$6+$B$7,"",C155+D155)</f>
        <v/>
      </c>
      <c r="H155" s="32">
        <f>IF(33&gt;$B$5+$B$6+$B$7,"",IF((C155+D155+E155+F155)=0,0,(C155+D155)/(C155+D155+E155+F155)*100))</f>
        <v/>
      </c>
      <c r="I155" s="32">
        <f>IF(33&gt;$B$5+$B$6+$B$7,"",IF((C155+D155+E155+F155)=0,0,F155/(C155+D155+E155+F155)*100))</f>
        <v/>
      </c>
    </row>
    <row r="156">
      <c r="A156" s="28" t="n">
        <v>34</v>
      </c>
      <c r="B156" s="28">
        <f>IF(34&gt;$B$5+$B$6+$B$7,"—",IF(34&lt;=$B$6,"Extraction",IF(34&lt;=$B$6+$B$7,"Scrub","Strip")))</f>
        <v/>
      </c>
      <c r="C156" s="31">
        <f>IF(34&gt;$B$5+$B$6+$B$7,"",AI53)</f>
        <v/>
      </c>
      <c r="D156" s="31">
        <f>IF(34&gt;$B$5+$B$6+$B$7,"",AJ53)</f>
        <v/>
      </c>
      <c r="E156" s="31">
        <f>IF(34&gt;$B$5+$B$6+$B$7,"",AK53)</f>
        <v/>
      </c>
      <c r="F156" s="31">
        <f>IF(34&gt;$B$5+$B$6+$B$7,"",AL53)</f>
        <v/>
      </c>
      <c r="G156" s="31">
        <f>IF(34&gt;$B$5+$B$6+$B$7,"",C156+D156)</f>
        <v/>
      </c>
      <c r="H156" s="32">
        <f>IF(34&gt;$B$5+$B$6+$B$7,"",IF((C156+D156+E156+F156)=0,0,(C156+D156)/(C156+D156+E156+F156)*100))</f>
        <v/>
      </c>
      <c r="I156" s="32">
        <f>IF(34&gt;$B$5+$B$6+$B$7,"",IF((C156+D156+E156+F156)=0,0,F156/(C156+D156+E156+F156)*100))</f>
        <v/>
      </c>
    </row>
    <row r="157">
      <c r="A157" s="28" t="n">
        <v>35</v>
      </c>
      <c r="B157" s="28">
        <f>IF(35&gt;$B$5+$B$6+$B$7,"—",IF(35&lt;=$B$6,"Extraction",IF(35&lt;=$B$6+$B$7,"Scrub","Strip")))</f>
        <v/>
      </c>
      <c r="C157" s="31">
        <f>IF(35&gt;$B$5+$B$6+$B$7,"",AI54)</f>
        <v/>
      </c>
      <c r="D157" s="31">
        <f>IF(35&gt;$B$5+$B$6+$B$7,"",AJ54)</f>
        <v/>
      </c>
      <c r="E157" s="31">
        <f>IF(35&gt;$B$5+$B$6+$B$7,"",AK54)</f>
        <v/>
      </c>
      <c r="F157" s="31">
        <f>IF(35&gt;$B$5+$B$6+$B$7,"",AL54)</f>
        <v/>
      </c>
      <c r="G157" s="31">
        <f>IF(35&gt;$B$5+$B$6+$B$7,"",C157+D157)</f>
        <v/>
      </c>
      <c r="H157" s="32">
        <f>IF(35&gt;$B$5+$B$6+$B$7,"",IF((C157+D157+E157+F157)=0,0,(C157+D157)/(C157+D157+E157+F157)*100))</f>
        <v/>
      </c>
      <c r="I157" s="32">
        <f>IF(35&gt;$B$5+$B$6+$B$7,"",IF((C157+D157+E157+F157)=0,0,F157/(C157+D157+E157+F157)*100))</f>
        <v/>
      </c>
    </row>
    <row r="158">
      <c r="A158" s="28" t="n">
        <v>36</v>
      </c>
      <c r="B158" s="28">
        <f>IF(36&gt;$B$5+$B$6+$B$7,"—",IF(36&lt;=$B$6,"Extraction",IF(36&lt;=$B$6+$B$7,"Scrub","Strip")))</f>
        <v/>
      </c>
      <c r="C158" s="31">
        <f>IF(36&gt;$B$5+$B$6+$B$7,"",AI55)</f>
        <v/>
      </c>
      <c r="D158" s="31">
        <f>IF(36&gt;$B$5+$B$6+$B$7,"",AJ55)</f>
        <v/>
      </c>
      <c r="E158" s="31">
        <f>IF(36&gt;$B$5+$B$6+$B$7,"",AK55)</f>
        <v/>
      </c>
      <c r="F158" s="31">
        <f>IF(36&gt;$B$5+$B$6+$B$7,"",AL55)</f>
        <v/>
      </c>
      <c r="G158" s="31">
        <f>IF(36&gt;$B$5+$B$6+$B$7,"",C158+D158)</f>
        <v/>
      </c>
      <c r="H158" s="32">
        <f>IF(36&gt;$B$5+$B$6+$B$7,"",IF((C158+D158+E158+F158)=0,0,(C158+D158)/(C158+D158+E158+F158)*100))</f>
        <v/>
      </c>
      <c r="I158" s="32">
        <f>IF(36&gt;$B$5+$B$6+$B$7,"",IF((C158+D158+E158+F158)=0,0,F158/(C158+D158+E158+F158)*100))</f>
        <v/>
      </c>
    </row>
    <row r="159">
      <c r="A159" s="28" t="n">
        <v>37</v>
      </c>
      <c r="B159" s="28">
        <f>IF(37&gt;$B$5+$B$6+$B$7,"—",IF(37&lt;=$B$6,"Extraction",IF(37&lt;=$B$6+$B$7,"Scrub","Strip")))</f>
        <v/>
      </c>
      <c r="C159" s="31">
        <f>IF(37&gt;$B$5+$B$6+$B$7,"",AI56)</f>
        <v/>
      </c>
      <c r="D159" s="31">
        <f>IF(37&gt;$B$5+$B$6+$B$7,"",AJ56)</f>
        <v/>
      </c>
      <c r="E159" s="31">
        <f>IF(37&gt;$B$5+$B$6+$B$7,"",AK56)</f>
        <v/>
      </c>
      <c r="F159" s="31">
        <f>IF(37&gt;$B$5+$B$6+$B$7,"",AL56)</f>
        <v/>
      </c>
      <c r="G159" s="31">
        <f>IF(37&gt;$B$5+$B$6+$B$7,"",C159+D159)</f>
        <v/>
      </c>
      <c r="H159" s="32">
        <f>IF(37&gt;$B$5+$B$6+$B$7,"",IF((C159+D159+E159+F159)=0,0,(C159+D159)/(C159+D159+E159+F159)*100))</f>
        <v/>
      </c>
      <c r="I159" s="32">
        <f>IF(37&gt;$B$5+$B$6+$B$7,"",IF((C159+D159+E159+F159)=0,0,F159/(C159+D159+E159+F159)*100))</f>
        <v/>
      </c>
    </row>
    <row r="160">
      <c r="A160" s="28" t="n">
        <v>38</v>
      </c>
      <c r="B160" s="28">
        <f>IF(38&gt;$B$5+$B$6+$B$7,"—",IF(38&lt;=$B$6,"Extraction",IF(38&lt;=$B$6+$B$7,"Scrub","Strip")))</f>
        <v/>
      </c>
      <c r="C160" s="31">
        <f>IF(38&gt;$B$5+$B$6+$B$7,"",AI57)</f>
        <v/>
      </c>
      <c r="D160" s="31">
        <f>IF(38&gt;$B$5+$B$6+$B$7,"",AJ57)</f>
        <v/>
      </c>
      <c r="E160" s="31">
        <f>IF(38&gt;$B$5+$B$6+$B$7,"",AK57)</f>
        <v/>
      </c>
      <c r="F160" s="31">
        <f>IF(38&gt;$B$5+$B$6+$B$7,"",AL57)</f>
        <v/>
      </c>
      <c r="G160" s="31">
        <f>IF(38&gt;$B$5+$B$6+$B$7,"",C160+D160)</f>
        <v/>
      </c>
      <c r="H160" s="32">
        <f>IF(38&gt;$B$5+$B$6+$B$7,"",IF((C160+D160+E160+F160)=0,0,(C160+D160)/(C160+D160+E160+F160)*100))</f>
        <v/>
      </c>
      <c r="I160" s="32">
        <f>IF(38&gt;$B$5+$B$6+$B$7,"",IF((C160+D160+E160+F160)=0,0,F160/(C160+D160+E160+F160)*100))</f>
        <v/>
      </c>
    </row>
    <row r="161">
      <c r="A161" s="28" t="n">
        <v>39</v>
      </c>
      <c r="B161" s="28">
        <f>IF(39&gt;$B$5+$B$6+$B$7,"—",IF(39&lt;=$B$6,"Extraction",IF(39&lt;=$B$6+$B$7,"Scrub","Strip")))</f>
        <v/>
      </c>
      <c r="C161" s="31">
        <f>IF(39&gt;$B$5+$B$6+$B$7,"",AI58)</f>
        <v/>
      </c>
      <c r="D161" s="31">
        <f>IF(39&gt;$B$5+$B$6+$B$7,"",AJ58)</f>
        <v/>
      </c>
      <c r="E161" s="31">
        <f>IF(39&gt;$B$5+$B$6+$B$7,"",AK58)</f>
        <v/>
      </c>
      <c r="F161" s="31">
        <f>IF(39&gt;$B$5+$B$6+$B$7,"",AL58)</f>
        <v/>
      </c>
      <c r="G161" s="31">
        <f>IF(39&gt;$B$5+$B$6+$B$7,"",C161+D161)</f>
        <v/>
      </c>
      <c r="H161" s="32">
        <f>IF(39&gt;$B$5+$B$6+$B$7,"",IF((C161+D161+E161+F161)=0,0,(C161+D161)/(C161+D161+E161+F161)*100))</f>
        <v/>
      </c>
      <c r="I161" s="32">
        <f>IF(39&gt;$B$5+$B$6+$B$7,"",IF((C161+D161+E161+F161)=0,0,F161/(C161+D161+E161+F161)*100))</f>
        <v/>
      </c>
    </row>
    <row r="162">
      <c r="A162" s="28" t="n">
        <v>40</v>
      </c>
      <c r="B162" s="28">
        <f>IF(40&gt;$B$5+$B$6+$B$7,"—",IF(40&lt;=$B$6,"Extraction",IF(40&lt;=$B$6+$B$7,"Scrub","Strip")))</f>
        <v/>
      </c>
      <c r="C162" s="31">
        <f>IF(40&gt;$B$5+$B$6+$B$7,"",AI59)</f>
        <v/>
      </c>
      <c r="D162" s="31">
        <f>IF(40&gt;$B$5+$B$6+$B$7,"",AJ59)</f>
        <v/>
      </c>
      <c r="E162" s="31">
        <f>IF(40&gt;$B$5+$B$6+$B$7,"",AK59)</f>
        <v/>
      </c>
      <c r="F162" s="31">
        <f>IF(40&gt;$B$5+$B$6+$B$7,"",AL59)</f>
        <v/>
      </c>
      <c r="G162" s="31">
        <f>IF(40&gt;$B$5+$B$6+$B$7,"",C162+D162)</f>
        <v/>
      </c>
      <c r="H162" s="32">
        <f>IF(40&gt;$B$5+$B$6+$B$7,"",IF((C162+D162+E162+F162)=0,0,(C162+D162)/(C162+D162+E162+F162)*100))</f>
        <v/>
      </c>
      <c r="I162" s="32">
        <f>IF(40&gt;$B$5+$B$6+$B$7,"",IF((C162+D162+E162+F162)=0,0,F162/(C162+D162+E162+F162)*100))</f>
        <v/>
      </c>
    </row>
    <row r="163">
      <c r="A163" s="28" t="n">
        <v>41</v>
      </c>
      <c r="B163" s="28">
        <f>IF(41&gt;$B$5+$B$6+$B$7,"—",IF(41&lt;=$B$6,"Extraction",IF(41&lt;=$B$6+$B$7,"Scrub","Strip")))</f>
        <v/>
      </c>
      <c r="C163" s="31">
        <f>IF(41&gt;$B$5+$B$6+$B$7,"",AI60)</f>
        <v/>
      </c>
      <c r="D163" s="31">
        <f>IF(41&gt;$B$5+$B$6+$B$7,"",AJ60)</f>
        <v/>
      </c>
      <c r="E163" s="31">
        <f>IF(41&gt;$B$5+$B$6+$B$7,"",AK60)</f>
        <v/>
      </c>
      <c r="F163" s="31">
        <f>IF(41&gt;$B$5+$B$6+$B$7,"",AL60)</f>
        <v/>
      </c>
      <c r="G163" s="31">
        <f>IF(41&gt;$B$5+$B$6+$B$7,"",C163+D163)</f>
        <v/>
      </c>
      <c r="H163" s="32">
        <f>IF(41&gt;$B$5+$B$6+$B$7,"",IF((C163+D163+E163+F163)=0,0,(C163+D163)/(C163+D163+E163+F163)*100))</f>
        <v/>
      </c>
      <c r="I163" s="32">
        <f>IF(41&gt;$B$5+$B$6+$B$7,"",IF((C163+D163+E163+F163)=0,0,F163/(C163+D163+E163+F163)*100))</f>
        <v/>
      </c>
    </row>
    <row r="164">
      <c r="A164" s="28" t="n">
        <v>42</v>
      </c>
      <c r="B164" s="28">
        <f>IF(42&gt;$B$5+$B$6+$B$7,"—",IF(42&lt;=$B$6,"Extraction",IF(42&lt;=$B$6+$B$7,"Scrub","Strip")))</f>
        <v/>
      </c>
      <c r="C164" s="31">
        <f>IF(42&gt;$B$5+$B$6+$B$7,"",AI61)</f>
        <v/>
      </c>
      <c r="D164" s="31">
        <f>IF(42&gt;$B$5+$B$6+$B$7,"",AJ61)</f>
        <v/>
      </c>
      <c r="E164" s="31">
        <f>IF(42&gt;$B$5+$B$6+$B$7,"",AK61)</f>
        <v/>
      </c>
      <c r="F164" s="31">
        <f>IF(42&gt;$B$5+$B$6+$B$7,"",AL61)</f>
        <v/>
      </c>
      <c r="G164" s="31">
        <f>IF(42&gt;$B$5+$B$6+$B$7,"",C164+D164)</f>
        <v/>
      </c>
      <c r="H164" s="32">
        <f>IF(42&gt;$B$5+$B$6+$B$7,"",IF((C164+D164+E164+F164)=0,0,(C164+D164)/(C164+D164+E164+F164)*100))</f>
        <v/>
      </c>
      <c r="I164" s="32">
        <f>IF(42&gt;$B$5+$B$6+$B$7,"",IF((C164+D164+E164+F164)=0,0,F164/(C164+D164+E164+F164)*100))</f>
        <v/>
      </c>
    </row>
    <row r="165">
      <c r="A165" s="28" t="n">
        <v>43</v>
      </c>
      <c r="B165" s="28">
        <f>IF(43&gt;$B$5+$B$6+$B$7,"—",IF(43&lt;=$B$6,"Extraction",IF(43&lt;=$B$6+$B$7,"Scrub","Strip")))</f>
        <v/>
      </c>
      <c r="C165" s="31">
        <f>IF(43&gt;$B$5+$B$6+$B$7,"",AI62)</f>
        <v/>
      </c>
      <c r="D165" s="31">
        <f>IF(43&gt;$B$5+$B$6+$B$7,"",AJ62)</f>
        <v/>
      </c>
      <c r="E165" s="31">
        <f>IF(43&gt;$B$5+$B$6+$B$7,"",AK62)</f>
        <v/>
      </c>
      <c r="F165" s="31">
        <f>IF(43&gt;$B$5+$B$6+$B$7,"",AL62)</f>
        <v/>
      </c>
      <c r="G165" s="31">
        <f>IF(43&gt;$B$5+$B$6+$B$7,"",C165+D165)</f>
        <v/>
      </c>
      <c r="H165" s="32">
        <f>IF(43&gt;$B$5+$B$6+$B$7,"",IF((C165+D165+E165+F165)=0,0,(C165+D165)/(C165+D165+E165+F165)*100))</f>
        <v/>
      </c>
      <c r="I165" s="32">
        <f>IF(43&gt;$B$5+$B$6+$B$7,"",IF((C165+D165+E165+F165)=0,0,F165/(C165+D165+E165+F165)*100))</f>
        <v/>
      </c>
    </row>
    <row r="166">
      <c r="A166" s="28" t="n">
        <v>44</v>
      </c>
      <c r="B166" s="28">
        <f>IF(44&gt;$B$5+$B$6+$B$7,"—",IF(44&lt;=$B$6,"Extraction",IF(44&lt;=$B$6+$B$7,"Scrub","Strip")))</f>
        <v/>
      </c>
      <c r="C166" s="31">
        <f>IF(44&gt;$B$5+$B$6+$B$7,"",AI63)</f>
        <v/>
      </c>
      <c r="D166" s="31">
        <f>IF(44&gt;$B$5+$B$6+$B$7,"",AJ63)</f>
        <v/>
      </c>
      <c r="E166" s="31">
        <f>IF(44&gt;$B$5+$B$6+$B$7,"",AK63)</f>
        <v/>
      </c>
      <c r="F166" s="31">
        <f>IF(44&gt;$B$5+$B$6+$B$7,"",AL63)</f>
        <v/>
      </c>
      <c r="G166" s="31">
        <f>IF(44&gt;$B$5+$B$6+$B$7,"",C166+D166)</f>
        <v/>
      </c>
      <c r="H166" s="32">
        <f>IF(44&gt;$B$5+$B$6+$B$7,"",IF((C166+D166+E166+F166)=0,0,(C166+D166)/(C166+D166+E166+F166)*100))</f>
        <v/>
      </c>
      <c r="I166" s="32">
        <f>IF(44&gt;$B$5+$B$6+$B$7,"",IF((C166+D166+E166+F166)=0,0,F166/(C166+D166+E166+F166)*100))</f>
        <v/>
      </c>
    </row>
    <row r="167">
      <c r="A167" s="28" t="n">
        <v>45</v>
      </c>
      <c r="B167" s="28">
        <f>IF(45&gt;$B$5+$B$6+$B$7,"—",IF(45&lt;=$B$6,"Extraction",IF(45&lt;=$B$6+$B$7,"Scrub","Strip")))</f>
        <v/>
      </c>
      <c r="C167" s="31">
        <f>IF(45&gt;$B$5+$B$6+$B$7,"",AI64)</f>
        <v/>
      </c>
      <c r="D167" s="31">
        <f>IF(45&gt;$B$5+$B$6+$B$7,"",AJ64)</f>
        <v/>
      </c>
      <c r="E167" s="31">
        <f>IF(45&gt;$B$5+$B$6+$B$7,"",AK64)</f>
        <v/>
      </c>
      <c r="F167" s="31">
        <f>IF(45&gt;$B$5+$B$6+$B$7,"",AL64)</f>
        <v/>
      </c>
      <c r="G167" s="31">
        <f>IF(45&gt;$B$5+$B$6+$B$7,"",C167+D167)</f>
        <v/>
      </c>
      <c r="H167" s="32">
        <f>IF(45&gt;$B$5+$B$6+$B$7,"",IF((C167+D167+E167+F167)=0,0,(C167+D167)/(C167+D167+E167+F167)*100))</f>
        <v/>
      </c>
      <c r="I167" s="32">
        <f>IF(45&gt;$B$5+$B$6+$B$7,"",IF((C167+D167+E167+F167)=0,0,F167/(C167+D167+E167+F167)*100))</f>
        <v/>
      </c>
    </row>
    <row r="168">
      <c r="A168" s="28" t="n">
        <v>46</v>
      </c>
      <c r="B168" s="28">
        <f>IF(46&gt;$B$5+$B$6+$B$7,"—",IF(46&lt;=$B$6,"Extraction",IF(46&lt;=$B$6+$B$7,"Scrub","Strip")))</f>
        <v/>
      </c>
      <c r="C168" s="31">
        <f>IF(46&gt;$B$5+$B$6+$B$7,"",AI65)</f>
        <v/>
      </c>
      <c r="D168" s="31">
        <f>IF(46&gt;$B$5+$B$6+$B$7,"",AJ65)</f>
        <v/>
      </c>
      <c r="E168" s="31">
        <f>IF(46&gt;$B$5+$B$6+$B$7,"",AK65)</f>
        <v/>
      </c>
      <c r="F168" s="31">
        <f>IF(46&gt;$B$5+$B$6+$B$7,"",AL65)</f>
        <v/>
      </c>
      <c r="G168" s="31">
        <f>IF(46&gt;$B$5+$B$6+$B$7,"",C168+D168)</f>
        <v/>
      </c>
      <c r="H168" s="32">
        <f>IF(46&gt;$B$5+$B$6+$B$7,"",IF((C168+D168+E168+F168)=0,0,(C168+D168)/(C168+D168+E168+F168)*100))</f>
        <v/>
      </c>
      <c r="I168" s="32">
        <f>IF(46&gt;$B$5+$B$6+$B$7,"",IF((C168+D168+E168+F168)=0,0,F168/(C168+D168+E168+F168)*100))</f>
        <v/>
      </c>
    </row>
    <row r="169">
      <c r="A169" s="28" t="n">
        <v>47</v>
      </c>
      <c r="B169" s="28">
        <f>IF(47&gt;$B$5+$B$6+$B$7,"—",IF(47&lt;=$B$6,"Extraction",IF(47&lt;=$B$6+$B$7,"Scrub","Strip")))</f>
        <v/>
      </c>
      <c r="C169" s="31">
        <f>IF(47&gt;$B$5+$B$6+$B$7,"",AI66)</f>
        <v/>
      </c>
      <c r="D169" s="31">
        <f>IF(47&gt;$B$5+$B$6+$B$7,"",AJ66)</f>
        <v/>
      </c>
      <c r="E169" s="31">
        <f>IF(47&gt;$B$5+$B$6+$B$7,"",AK66)</f>
        <v/>
      </c>
      <c r="F169" s="31">
        <f>IF(47&gt;$B$5+$B$6+$B$7,"",AL66)</f>
        <v/>
      </c>
      <c r="G169" s="31">
        <f>IF(47&gt;$B$5+$B$6+$B$7,"",C169+D169)</f>
        <v/>
      </c>
      <c r="H169" s="32">
        <f>IF(47&gt;$B$5+$B$6+$B$7,"",IF((C169+D169+E169+F169)=0,0,(C169+D169)/(C169+D169+E169+F169)*100))</f>
        <v/>
      </c>
      <c r="I169" s="32">
        <f>IF(47&gt;$B$5+$B$6+$B$7,"",IF((C169+D169+E169+F169)=0,0,F169/(C169+D169+E169+F169)*100))</f>
        <v/>
      </c>
    </row>
    <row r="170">
      <c r="A170" s="28" t="n">
        <v>48</v>
      </c>
      <c r="B170" s="28">
        <f>IF(48&gt;$B$5+$B$6+$B$7,"—",IF(48&lt;=$B$6,"Extraction",IF(48&lt;=$B$6+$B$7,"Scrub","Strip")))</f>
        <v/>
      </c>
      <c r="C170" s="31">
        <f>IF(48&gt;$B$5+$B$6+$B$7,"",AI67)</f>
        <v/>
      </c>
      <c r="D170" s="31">
        <f>IF(48&gt;$B$5+$B$6+$B$7,"",AJ67)</f>
        <v/>
      </c>
      <c r="E170" s="31">
        <f>IF(48&gt;$B$5+$B$6+$B$7,"",AK67)</f>
        <v/>
      </c>
      <c r="F170" s="31">
        <f>IF(48&gt;$B$5+$B$6+$B$7,"",AL67)</f>
        <v/>
      </c>
      <c r="G170" s="31">
        <f>IF(48&gt;$B$5+$B$6+$B$7,"",C170+D170)</f>
        <v/>
      </c>
      <c r="H170" s="32">
        <f>IF(48&gt;$B$5+$B$6+$B$7,"",IF((C170+D170+E170+F170)=0,0,(C170+D170)/(C170+D170+E170+F170)*100))</f>
        <v/>
      </c>
      <c r="I170" s="32">
        <f>IF(48&gt;$B$5+$B$6+$B$7,"",IF((C170+D170+E170+F170)=0,0,F170/(C170+D170+E170+F170)*100))</f>
        <v/>
      </c>
    </row>
    <row r="171">
      <c r="A171" s="28" t="n">
        <v>49</v>
      </c>
      <c r="B171" s="28">
        <f>IF(49&gt;$B$5+$B$6+$B$7,"—",IF(49&lt;=$B$6,"Extraction",IF(49&lt;=$B$6+$B$7,"Scrub","Strip")))</f>
        <v/>
      </c>
      <c r="C171" s="31">
        <f>IF(49&gt;$B$5+$B$6+$B$7,"",AI68)</f>
        <v/>
      </c>
      <c r="D171" s="31">
        <f>IF(49&gt;$B$5+$B$6+$B$7,"",AJ68)</f>
        <v/>
      </c>
      <c r="E171" s="31">
        <f>IF(49&gt;$B$5+$B$6+$B$7,"",AK68)</f>
        <v/>
      </c>
      <c r="F171" s="31">
        <f>IF(49&gt;$B$5+$B$6+$B$7,"",AL68)</f>
        <v/>
      </c>
      <c r="G171" s="31">
        <f>IF(49&gt;$B$5+$B$6+$B$7,"",C171+D171)</f>
        <v/>
      </c>
      <c r="H171" s="32">
        <f>IF(49&gt;$B$5+$B$6+$B$7,"",IF((C171+D171+E171+F171)=0,0,(C171+D171)/(C171+D171+E171+F171)*100))</f>
        <v/>
      </c>
      <c r="I171" s="32">
        <f>IF(49&gt;$B$5+$B$6+$B$7,"",IF((C171+D171+E171+F171)=0,0,F171/(C171+D171+E171+F171)*100))</f>
        <v/>
      </c>
    </row>
    <row r="172">
      <c r="A172" s="28" t="n">
        <v>50</v>
      </c>
      <c r="B172" s="28">
        <f>IF(50&gt;$B$5+$B$6+$B$7,"—",IF(50&lt;=$B$6,"Extraction",IF(50&lt;=$B$6+$B$7,"Scrub","Strip")))</f>
        <v/>
      </c>
      <c r="C172" s="31">
        <f>IF(50&gt;$B$5+$B$6+$B$7,"",AI69)</f>
        <v/>
      </c>
      <c r="D172" s="31">
        <f>IF(50&gt;$B$5+$B$6+$B$7,"",AJ69)</f>
        <v/>
      </c>
      <c r="E172" s="31">
        <f>IF(50&gt;$B$5+$B$6+$B$7,"",AK69)</f>
        <v/>
      </c>
      <c r="F172" s="31">
        <f>IF(50&gt;$B$5+$B$6+$B$7,"",AL69)</f>
        <v/>
      </c>
      <c r="G172" s="31">
        <f>IF(50&gt;$B$5+$B$6+$B$7,"",C172+D172)</f>
        <v/>
      </c>
      <c r="H172" s="32">
        <f>IF(50&gt;$B$5+$B$6+$B$7,"",IF((C172+D172+E172+F172)=0,0,(C172+D172)/(C172+D172+E172+F172)*100))</f>
        <v/>
      </c>
      <c r="I172" s="32">
        <f>IF(50&gt;$B$5+$B$6+$B$7,"",IF((C172+D172+E172+F172)=0,0,F172/(C172+D172+E172+F172)*100))</f>
        <v/>
      </c>
    </row>
    <row r="173">
      <c r="A173" s="28" t="n">
        <v>51</v>
      </c>
      <c r="B173" s="28">
        <f>IF(51&gt;$B$5+$B$6+$B$7,"—",IF(51&lt;=$B$6,"Extraction",IF(51&lt;=$B$6+$B$7,"Scrub","Strip")))</f>
        <v/>
      </c>
      <c r="C173" s="31">
        <f>IF(51&gt;$B$5+$B$6+$B$7,"",AI70)</f>
        <v/>
      </c>
      <c r="D173" s="31">
        <f>IF(51&gt;$B$5+$B$6+$B$7,"",AJ70)</f>
        <v/>
      </c>
      <c r="E173" s="31">
        <f>IF(51&gt;$B$5+$B$6+$B$7,"",AK70)</f>
        <v/>
      </c>
      <c r="F173" s="31">
        <f>IF(51&gt;$B$5+$B$6+$B$7,"",AL70)</f>
        <v/>
      </c>
      <c r="G173" s="31">
        <f>IF(51&gt;$B$5+$B$6+$B$7,"",C173+D173)</f>
        <v/>
      </c>
      <c r="H173" s="32">
        <f>IF(51&gt;$B$5+$B$6+$B$7,"",IF((C173+D173+E173+F173)=0,0,(C173+D173)/(C173+D173+E173+F173)*100))</f>
        <v/>
      </c>
      <c r="I173" s="32">
        <f>IF(51&gt;$B$5+$B$6+$B$7,"",IF((C173+D173+E173+F173)=0,0,F173/(C173+D173+E173+F173)*100))</f>
        <v/>
      </c>
    </row>
    <row r="174">
      <c r="A174" s="28" t="n">
        <v>52</v>
      </c>
      <c r="B174" s="28">
        <f>IF(52&gt;$B$5+$B$6+$B$7,"—",IF(52&lt;=$B$6,"Extraction",IF(52&lt;=$B$6+$B$7,"Scrub","Strip")))</f>
        <v/>
      </c>
      <c r="C174" s="31">
        <f>IF(52&gt;$B$5+$B$6+$B$7,"",AI71)</f>
        <v/>
      </c>
      <c r="D174" s="31">
        <f>IF(52&gt;$B$5+$B$6+$B$7,"",AJ71)</f>
        <v/>
      </c>
      <c r="E174" s="31">
        <f>IF(52&gt;$B$5+$B$6+$B$7,"",AK71)</f>
        <v/>
      </c>
      <c r="F174" s="31">
        <f>IF(52&gt;$B$5+$B$6+$B$7,"",AL71)</f>
        <v/>
      </c>
      <c r="G174" s="31">
        <f>IF(52&gt;$B$5+$B$6+$B$7,"",C174+D174)</f>
        <v/>
      </c>
      <c r="H174" s="32">
        <f>IF(52&gt;$B$5+$B$6+$B$7,"",IF((C174+D174+E174+F174)=0,0,(C174+D174)/(C174+D174+E174+F174)*100))</f>
        <v/>
      </c>
      <c r="I174" s="32">
        <f>IF(52&gt;$B$5+$B$6+$B$7,"",IF((C174+D174+E174+F174)=0,0,F174/(C174+D174+E174+F174)*100))</f>
        <v/>
      </c>
    </row>
    <row r="175">
      <c r="A175" s="28" t="n">
        <v>53</v>
      </c>
      <c r="B175" s="28">
        <f>IF(53&gt;$B$5+$B$6+$B$7,"—",IF(53&lt;=$B$6,"Extraction",IF(53&lt;=$B$6+$B$7,"Scrub","Strip")))</f>
        <v/>
      </c>
      <c r="C175" s="31">
        <f>IF(53&gt;$B$5+$B$6+$B$7,"",AI72)</f>
        <v/>
      </c>
      <c r="D175" s="31">
        <f>IF(53&gt;$B$5+$B$6+$B$7,"",AJ72)</f>
        <v/>
      </c>
      <c r="E175" s="31">
        <f>IF(53&gt;$B$5+$B$6+$B$7,"",AK72)</f>
        <v/>
      </c>
      <c r="F175" s="31">
        <f>IF(53&gt;$B$5+$B$6+$B$7,"",AL72)</f>
        <v/>
      </c>
      <c r="G175" s="31">
        <f>IF(53&gt;$B$5+$B$6+$B$7,"",C175+D175)</f>
        <v/>
      </c>
      <c r="H175" s="32">
        <f>IF(53&gt;$B$5+$B$6+$B$7,"",IF((C175+D175+E175+F175)=0,0,(C175+D175)/(C175+D175+E175+F175)*100))</f>
        <v/>
      </c>
      <c r="I175" s="32">
        <f>IF(53&gt;$B$5+$B$6+$B$7,"",IF((C175+D175+E175+F175)=0,0,F175/(C175+D175+E175+F175)*100))</f>
        <v/>
      </c>
    </row>
    <row r="176">
      <c r="A176" s="28" t="n">
        <v>54</v>
      </c>
      <c r="B176" s="28">
        <f>IF(54&gt;$B$5+$B$6+$B$7,"—",IF(54&lt;=$B$6,"Extraction",IF(54&lt;=$B$6+$B$7,"Scrub","Strip")))</f>
        <v/>
      </c>
      <c r="C176" s="31">
        <f>IF(54&gt;$B$5+$B$6+$B$7,"",AI73)</f>
        <v/>
      </c>
      <c r="D176" s="31">
        <f>IF(54&gt;$B$5+$B$6+$B$7,"",AJ73)</f>
        <v/>
      </c>
      <c r="E176" s="31">
        <f>IF(54&gt;$B$5+$B$6+$B$7,"",AK73)</f>
        <v/>
      </c>
      <c r="F176" s="31">
        <f>IF(54&gt;$B$5+$B$6+$B$7,"",AL73)</f>
        <v/>
      </c>
      <c r="G176" s="31">
        <f>IF(54&gt;$B$5+$B$6+$B$7,"",C176+D176)</f>
        <v/>
      </c>
      <c r="H176" s="32">
        <f>IF(54&gt;$B$5+$B$6+$B$7,"",IF((C176+D176+E176+F176)=0,0,(C176+D176)/(C176+D176+E176+F176)*100))</f>
        <v/>
      </c>
      <c r="I176" s="32">
        <f>IF(54&gt;$B$5+$B$6+$B$7,"",IF((C176+D176+E176+F176)=0,0,F176/(C176+D176+E176+F176)*100))</f>
        <v/>
      </c>
    </row>
    <row r="177">
      <c r="A177" s="28" t="n">
        <v>55</v>
      </c>
      <c r="B177" s="28">
        <f>IF(55&gt;$B$5+$B$6+$B$7,"—",IF(55&lt;=$B$6,"Extraction",IF(55&lt;=$B$6+$B$7,"Scrub","Strip")))</f>
        <v/>
      </c>
      <c r="C177" s="31">
        <f>IF(55&gt;$B$5+$B$6+$B$7,"",AI74)</f>
        <v/>
      </c>
      <c r="D177" s="31">
        <f>IF(55&gt;$B$5+$B$6+$B$7,"",AJ74)</f>
        <v/>
      </c>
      <c r="E177" s="31">
        <f>IF(55&gt;$B$5+$B$6+$B$7,"",AK74)</f>
        <v/>
      </c>
      <c r="F177" s="31">
        <f>IF(55&gt;$B$5+$B$6+$B$7,"",AL74)</f>
        <v/>
      </c>
      <c r="G177" s="31">
        <f>IF(55&gt;$B$5+$B$6+$B$7,"",C177+D177)</f>
        <v/>
      </c>
      <c r="H177" s="32">
        <f>IF(55&gt;$B$5+$B$6+$B$7,"",IF((C177+D177+E177+F177)=0,0,(C177+D177)/(C177+D177+E177+F177)*100))</f>
        <v/>
      </c>
      <c r="I177" s="32">
        <f>IF(55&gt;$B$5+$B$6+$B$7,"",IF((C177+D177+E177+F177)=0,0,F177/(C177+D177+E177+F177)*100))</f>
        <v/>
      </c>
    </row>
    <row r="178">
      <c r="A178" s="28" t="n">
        <v>56</v>
      </c>
      <c r="B178" s="28">
        <f>IF(56&gt;$B$5+$B$6+$B$7,"—",IF(56&lt;=$B$6,"Extraction",IF(56&lt;=$B$6+$B$7,"Scrub","Strip")))</f>
        <v/>
      </c>
      <c r="C178" s="31">
        <f>IF(56&gt;$B$5+$B$6+$B$7,"",AI75)</f>
        <v/>
      </c>
      <c r="D178" s="31">
        <f>IF(56&gt;$B$5+$B$6+$B$7,"",AJ75)</f>
        <v/>
      </c>
      <c r="E178" s="31">
        <f>IF(56&gt;$B$5+$B$6+$B$7,"",AK75)</f>
        <v/>
      </c>
      <c r="F178" s="31">
        <f>IF(56&gt;$B$5+$B$6+$B$7,"",AL75)</f>
        <v/>
      </c>
      <c r="G178" s="31">
        <f>IF(56&gt;$B$5+$B$6+$B$7,"",C178+D178)</f>
        <v/>
      </c>
      <c r="H178" s="32">
        <f>IF(56&gt;$B$5+$B$6+$B$7,"",IF((C178+D178+E178+F178)=0,0,(C178+D178)/(C178+D178+E178+F178)*100))</f>
        <v/>
      </c>
      <c r="I178" s="32">
        <f>IF(56&gt;$B$5+$B$6+$B$7,"",IF((C178+D178+E178+F178)=0,0,F178/(C178+D178+E178+F178)*100))</f>
        <v/>
      </c>
    </row>
    <row r="179">
      <c r="A179" s="28" t="n">
        <v>57</v>
      </c>
      <c r="B179" s="28">
        <f>IF(57&gt;$B$5+$B$6+$B$7,"—",IF(57&lt;=$B$6,"Extraction",IF(57&lt;=$B$6+$B$7,"Scrub","Strip")))</f>
        <v/>
      </c>
      <c r="C179" s="31">
        <f>IF(57&gt;$B$5+$B$6+$B$7,"",AI76)</f>
        <v/>
      </c>
      <c r="D179" s="31">
        <f>IF(57&gt;$B$5+$B$6+$B$7,"",AJ76)</f>
        <v/>
      </c>
      <c r="E179" s="31">
        <f>IF(57&gt;$B$5+$B$6+$B$7,"",AK76)</f>
        <v/>
      </c>
      <c r="F179" s="31">
        <f>IF(57&gt;$B$5+$B$6+$B$7,"",AL76)</f>
        <v/>
      </c>
      <c r="G179" s="31">
        <f>IF(57&gt;$B$5+$B$6+$B$7,"",C179+D179)</f>
        <v/>
      </c>
      <c r="H179" s="32">
        <f>IF(57&gt;$B$5+$B$6+$B$7,"",IF((C179+D179+E179+F179)=0,0,(C179+D179)/(C179+D179+E179+F179)*100))</f>
        <v/>
      </c>
      <c r="I179" s="32">
        <f>IF(57&gt;$B$5+$B$6+$B$7,"",IF((C179+D179+E179+F179)=0,0,F179/(C179+D179+E179+F179)*100))</f>
        <v/>
      </c>
    </row>
    <row r="180">
      <c r="A180" s="28" t="n">
        <v>58</v>
      </c>
      <c r="B180" s="28">
        <f>IF(58&gt;$B$5+$B$6+$B$7,"—",IF(58&lt;=$B$6,"Extraction",IF(58&lt;=$B$6+$B$7,"Scrub","Strip")))</f>
        <v/>
      </c>
      <c r="C180" s="31">
        <f>IF(58&gt;$B$5+$B$6+$B$7,"",AI77)</f>
        <v/>
      </c>
      <c r="D180" s="31">
        <f>IF(58&gt;$B$5+$B$6+$B$7,"",AJ77)</f>
        <v/>
      </c>
      <c r="E180" s="31">
        <f>IF(58&gt;$B$5+$B$6+$B$7,"",AK77)</f>
        <v/>
      </c>
      <c r="F180" s="31">
        <f>IF(58&gt;$B$5+$B$6+$B$7,"",AL77)</f>
        <v/>
      </c>
      <c r="G180" s="31">
        <f>IF(58&gt;$B$5+$B$6+$B$7,"",C180+D180)</f>
        <v/>
      </c>
      <c r="H180" s="32">
        <f>IF(58&gt;$B$5+$B$6+$B$7,"",IF((C180+D180+E180+F180)=0,0,(C180+D180)/(C180+D180+E180+F180)*100))</f>
        <v/>
      </c>
      <c r="I180" s="32">
        <f>IF(58&gt;$B$5+$B$6+$B$7,"",IF((C180+D180+E180+F180)=0,0,F180/(C180+D180+E180+F180)*100))</f>
        <v/>
      </c>
    </row>
    <row r="181">
      <c r="A181" s="28" t="n">
        <v>59</v>
      </c>
      <c r="B181" s="28">
        <f>IF(59&gt;$B$5+$B$6+$B$7,"—",IF(59&lt;=$B$6,"Extraction",IF(59&lt;=$B$6+$B$7,"Scrub","Strip")))</f>
        <v/>
      </c>
      <c r="C181" s="31">
        <f>IF(59&gt;$B$5+$B$6+$B$7,"",AI78)</f>
        <v/>
      </c>
      <c r="D181" s="31">
        <f>IF(59&gt;$B$5+$B$6+$B$7,"",AJ78)</f>
        <v/>
      </c>
      <c r="E181" s="31">
        <f>IF(59&gt;$B$5+$B$6+$B$7,"",AK78)</f>
        <v/>
      </c>
      <c r="F181" s="31">
        <f>IF(59&gt;$B$5+$B$6+$B$7,"",AL78)</f>
        <v/>
      </c>
      <c r="G181" s="31">
        <f>IF(59&gt;$B$5+$B$6+$B$7,"",C181+D181)</f>
        <v/>
      </c>
      <c r="H181" s="32">
        <f>IF(59&gt;$B$5+$B$6+$B$7,"",IF((C181+D181+E181+F181)=0,0,(C181+D181)/(C181+D181+E181+F181)*100))</f>
        <v/>
      </c>
      <c r="I181" s="32">
        <f>IF(59&gt;$B$5+$B$6+$B$7,"",IF((C181+D181+E181+F181)=0,0,F181/(C181+D181+E181+F181)*100))</f>
        <v/>
      </c>
    </row>
    <row r="182">
      <c r="A182" s="28" t="n">
        <v>60</v>
      </c>
      <c r="B182" s="28">
        <f>IF(60&gt;$B$5+$B$6+$B$7,"—",IF(60&lt;=$B$6,"Extraction",IF(60&lt;=$B$6+$B$7,"Scrub","Strip")))</f>
        <v/>
      </c>
      <c r="C182" s="31">
        <f>IF(60&gt;$B$5+$B$6+$B$7,"",AI79)</f>
        <v/>
      </c>
      <c r="D182" s="31">
        <f>IF(60&gt;$B$5+$B$6+$B$7,"",AJ79)</f>
        <v/>
      </c>
      <c r="E182" s="31">
        <f>IF(60&gt;$B$5+$B$6+$B$7,"",AK79)</f>
        <v/>
      </c>
      <c r="F182" s="31">
        <f>IF(60&gt;$B$5+$B$6+$B$7,"",AL79)</f>
        <v/>
      </c>
      <c r="G182" s="31">
        <f>IF(60&gt;$B$5+$B$6+$B$7,"",C182+D182)</f>
        <v/>
      </c>
      <c r="H182" s="32">
        <f>IF(60&gt;$B$5+$B$6+$B$7,"",IF((C182+D182+E182+F182)=0,0,(C182+D182)/(C182+D182+E182+F182)*100))</f>
        <v/>
      </c>
      <c r="I182" s="32">
        <f>IF(60&gt;$B$5+$B$6+$B$7,"",IF((C182+D182+E182+F182)=0,0,F182/(C182+D182+E182+F182)*100))</f>
        <v/>
      </c>
    </row>
    <row r="183">
      <c r="A183" s="28" t="n">
        <v>61</v>
      </c>
      <c r="B183" s="28">
        <f>IF(61&gt;$B$5+$B$6+$B$7,"—",IF(61&lt;=$B$6,"Extraction",IF(61&lt;=$B$6+$B$7,"Scrub","Strip")))</f>
        <v/>
      </c>
      <c r="C183" s="31">
        <f>IF(61&gt;$B$5+$B$6+$B$7,"",AI80)</f>
        <v/>
      </c>
      <c r="D183" s="31">
        <f>IF(61&gt;$B$5+$B$6+$B$7,"",AJ80)</f>
        <v/>
      </c>
      <c r="E183" s="31">
        <f>IF(61&gt;$B$5+$B$6+$B$7,"",AK80)</f>
        <v/>
      </c>
      <c r="F183" s="31">
        <f>IF(61&gt;$B$5+$B$6+$B$7,"",AL80)</f>
        <v/>
      </c>
      <c r="G183" s="31">
        <f>IF(61&gt;$B$5+$B$6+$B$7,"",C183+D183)</f>
        <v/>
      </c>
      <c r="H183" s="32">
        <f>IF(61&gt;$B$5+$B$6+$B$7,"",IF((C183+D183+E183+F183)=0,0,(C183+D183)/(C183+D183+E183+F183)*100))</f>
        <v/>
      </c>
      <c r="I183" s="32">
        <f>IF(61&gt;$B$5+$B$6+$B$7,"",IF((C183+D183+E183+F183)=0,0,F183/(C183+D183+E183+F183)*100))</f>
        <v/>
      </c>
    </row>
    <row r="184">
      <c r="A184" s="28" t="n">
        <v>62</v>
      </c>
      <c r="B184" s="28">
        <f>IF(62&gt;$B$5+$B$6+$B$7,"—",IF(62&lt;=$B$6,"Extraction",IF(62&lt;=$B$6+$B$7,"Scrub","Strip")))</f>
        <v/>
      </c>
      <c r="C184" s="31">
        <f>IF(62&gt;$B$5+$B$6+$B$7,"",AI81)</f>
        <v/>
      </c>
      <c r="D184" s="31">
        <f>IF(62&gt;$B$5+$B$6+$B$7,"",AJ81)</f>
        <v/>
      </c>
      <c r="E184" s="31">
        <f>IF(62&gt;$B$5+$B$6+$B$7,"",AK81)</f>
        <v/>
      </c>
      <c r="F184" s="31">
        <f>IF(62&gt;$B$5+$B$6+$B$7,"",AL81)</f>
        <v/>
      </c>
      <c r="G184" s="31">
        <f>IF(62&gt;$B$5+$B$6+$B$7,"",C184+D184)</f>
        <v/>
      </c>
      <c r="H184" s="32">
        <f>IF(62&gt;$B$5+$B$6+$B$7,"",IF((C184+D184+E184+F184)=0,0,(C184+D184)/(C184+D184+E184+F184)*100))</f>
        <v/>
      </c>
      <c r="I184" s="32">
        <f>IF(62&gt;$B$5+$B$6+$B$7,"",IF((C184+D184+E184+F184)=0,0,F184/(C184+D184+E184+F184)*100))</f>
        <v/>
      </c>
    </row>
    <row r="185">
      <c r="A185" s="28" t="n">
        <v>63</v>
      </c>
      <c r="B185" s="28">
        <f>IF(63&gt;$B$5+$B$6+$B$7,"—",IF(63&lt;=$B$6,"Extraction",IF(63&lt;=$B$6+$B$7,"Scrub","Strip")))</f>
        <v/>
      </c>
      <c r="C185" s="31">
        <f>IF(63&gt;$B$5+$B$6+$B$7,"",AI82)</f>
        <v/>
      </c>
      <c r="D185" s="31">
        <f>IF(63&gt;$B$5+$B$6+$B$7,"",AJ82)</f>
        <v/>
      </c>
      <c r="E185" s="31">
        <f>IF(63&gt;$B$5+$B$6+$B$7,"",AK82)</f>
        <v/>
      </c>
      <c r="F185" s="31">
        <f>IF(63&gt;$B$5+$B$6+$B$7,"",AL82)</f>
        <v/>
      </c>
      <c r="G185" s="31">
        <f>IF(63&gt;$B$5+$B$6+$B$7,"",C185+D185)</f>
        <v/>
      </c>
      <c r="H185" s="32">
        <f>IF(63&gt;$B$5+$B$6+$B$7,"",IF((C185+D185+E185+F185)=0,0,(C185+D185)/(C185+D185+E185+F185)*100))</f>
        <v/>
      </c>
      <c r="I185" s="32">
        <f>IF(63&gt;$B$5+$B$6+$B$7,"",IF((C185+D185+E185+F185)=0,0,F185/(C185+D185+E185+F185)*100))</f>
        <v/>
      </c>
    </row>
    <row r="186">
      <c r="A186" s="28" t="n">
        <v>64</v>
      </c>
      <c r="B186" s="28">
        <f>IF(64&gt;$B$5+$B$6+$B$7,"—",IF(64&lt;=$B$6,"Extraction",IF(64&lt;=$B$6+$B$7,"Scrub","Strip")))</f>
        <v/>
      </c>
      <c r="C186" s="31">
        <f>IF(64&gt;$B$5+$B$6+$B$7,"",AI83)</f>
        <v/>
      </c>
      <c r="D186" s="31">
        <f>IF(64&gt;$B$5+$B$6+$B$7,"",AJ83)</f>
        <v/>
      </c>
      <c r="E186" s="31">
        <f>IF(64&gt;$B$5+$B$6+$B$7,"",AK83)</f>
        <v/>
      </c>
      <c r="F186" s="31">
        <f>IF(64&gt;$B$5+$B$6+$B$7,"",AL83)</f>
        <v/>
      </c>
      <c r="G186" s="31">
        <f>IF(64&gt;$B$5+$B$6+$B$7,"",C186+D186)</f>
        <v/>
      </c>
      <c r="H186" s="32">
        <f>IF(64&gt;$B$5+$B$6+$B$7,"",IF((C186+D186+E186+F186)=0,0,(C186+D186)/(C186+D186+E186+F186)*100))</f>
        <v/>
      </c>
      <c r="I186" s="32">
        <f>IF(64&gt;$B$5+$B$6+$B$7,"",IF((C186+D186+E186+F186)=0,0,F186/(C186+D186+E186+F186)*100))</f>
        <v/>
      </c>
    </row>
    <row r="187">
      <c r="A187" s="28" t="n">
        <v>65</v>
      </c>
      <c r="B187" s="28">
        <f>IF(65&gt;$B$5+$B$6+$B$7,"—",IF(65&lt;=$B$6,"Extraction",IF(65&lt;=$B$6+$B$7,"Scrub","Strip")))</f>
        <v/>
      </c>
      <c r="C187" s="31">
        <f>IF(65&gt;$B$5+$B$6+$B$7,"",AI84)</f>
        <v/>
      </c>
      <c r="D187" s="31">
        <f>IF(65&gt;$B$5+$B$6+$B$7,"",AJ84)</f>
        <v/>
      </c>
      <c r="E187" s="31">
        <f>IF(65&gt;$B$5+$B$6+$B$7,"",AK84)</f>
        <v/>
      </c>
      <c r="F187" s="31">
        <f>IF(65&gt;$B$5+$B$6+$B$7,"",AL84)</f>
        <v/>
      </c>
      <c r="G187" s="31">
        <f>IF(65&gt;$B$5+$B$6+$B$7,"",C187+D187)</f>
        <v/>
      </c>
      <c r="H187" s="32">
        <f>IF(65&gt;$B$5+$B$6+$B$7,"",IF((C187+D187+E187+F187)=0,0,(C187+D187)/(C187+D187+E187+F187)*100))</f>
        <v/>
      </c>
      <c r="I187" s="32">
        <f>IF(65&gt;$B$5+$B$6+$B$7,"",IF((C187+D187+E187+F187)=0,0,F187/(C187+D187+E187+F187)*100))</f>
        <v/>
      </c>
    </row>
    <row r="188">
      <c r="A188" s="28" t="n">
        <v>66</v>
      </c>
      <c r="B188" s="28">
        <f>IF(66&gt;$B$5+$B$6+$B$7,"—",IF(66&lt;=$B$6,"Extraction",IF(66&lt;=$B$6+$B$7,"Scrub","Strip")))</f>
        <v/>
      </c>
      <c r="C188" s="31">
        <f>IF(66&gt;$B$5+$B$6+$B$7,"",AI85)</f>
        <v/>
      </c>
      <c r="D188" s="31">
        <f>IF(66&gt;$B$5+$B$6+$B$7,"",AJ85)</f>
        <v/>
      </c>
      <c r="E188" s="31">
        <f>IF(66&gt;$B$5+$B$6+$B$7,"",AK85)</f>
        <v/>
      </c>
      <c r="F188" s="31">
        <f>IF(66&gt;$B$5+$B$6+$B$7,"",AL85)</f>
        <v/>
      </c>
      <c r="G188" s="31">
        <f>IF(66&gt;$B$5+$B$6+$B$7,"",C188+D188)</f>
        <v/>
      </c>
      <c r="H188" s="32">
        <f>IF(66&gt;$B$5+$B$6+$B$7,"",IF((C188+D188+E188+F188)=0,0,(C188+D188)/(C188+D188+E188+F188)*100))</f>
        <v/>
      </c>
      <c r="I188" s="32">
        <f>IF(66&gt;$B$5+$B$6+$B$7,"",IF((C188+D188+E188+F188)=0,0,F188/(C188+D188+E188+F188)*100))</f>
        <v/>
      </c>
    </row>
    <row r="189">
      <c r="A189" s="28" t="n">
        <v>67</v>
      </c>
      <c r="B189" s="28">
        <f>IF(67&gt;$B$5+$B$6+$B$7,"—",IF(67&lt;=$B$6,"Extraction",IF(67&lt;=$B$6+$B$7,"Scrub","Strip")))</f>
        <v/>
      </c>
      <c r="C189" s="31">
        <f>IF(67&gt;$B$5+$B$6+$B$7,"",AI86)</f>
        <v/>
      </c>
      <c r="D189" s="31">
        <f>IF(67&gt;$B$5+$B$6+$B$7,"",AJ86)</f>
        <v/>
      </c>
      <c r="E189" s="31">
        <f>IF(67&gt;$B$5+$B$6+$B$7,"",AK86)</f>
        <v/>
      </c>
      <c r="F189" s="31">
        <f>IF(67&gt;$B$5+$B$6+$B$7,"",AL86)</f>
        <v/>
      </c>
      <c r="G189" s="31">
        <f>IF(67&gt;$B$5+$B$6+$B$7,"",C189+D189)</f>
        <v/>
      </c>
      <c r="H189" s="32">
        <f>IF(67&gt;$B$5+$B$6+$B$7,"",IF((C189+D189+E189+F189)=0,0,(C189+D189)/(C189+D189+E189+F189)*100))</f>
        <v/>
      </c>
      <c r="I189" s="32">
        <f>IF(67&gt;$B$5+$B$6+$B$7,"",IF((C189+D189+E189+F189)=0,0,F189/(C189+D189+E189+F189)*100))</f>
        <v/>
      </c>
    </row>
    <row r="190">
      <c r="A190" s="28" t="n">
        <v>68</v>
      </c>
      <c r="B190" s="28">
        <f>IF(68&gt;$B$5+$B$6+$B$7,"—",IF(68&lt;=$B$6,"Extraction",IF(68&lt;=$B$6+$B$7,"Scrub","Strip")))</f>
        <v/>
      </c>
      <c r="C190" s="31">
        <f>IF(68&gt;$B$5+$B$6+$B$7,"",AI87)</f>
        <v/>
      </c>
      <c r="D190" s="31">
        <f>IF(68&gt;$B$5+$B$6+$B$7,"",AJ87)</f>
        <v/>
      </c>
      <c r="E190" s="31">
        <f>IF(68&gt;$B$5+$B$6+$B$7,"",AK87)</f>
        <v/>
      </c>
      <c r="F190" s="31">
        <f>IF(68&gt;$B$5+$B$6+$B$7,"",AL87)</f>
        <v/>
      </c>
      <c r="G190" s="31">
        <f>IF(68&gt;$B$5+$B$6+$B$7,"",C190+D190)</f>
        <v/>
      </c>
      <c r="H190" s="32">
        <f>IF(68&gt;$B$5+$B$6+$B$7,"",IF((C190+D190+E190+F190)=0,0,(C190+D190)/(C190+D190+E190+F190)*100))</f>
        <v/>
      </c>
      <c r="I190" s="32">
        <f>IF(68&gt;$B$5+$B$6+$B$7,"",IF((C190+D190+E190+F190)=0,0,F190/(C190+D190+E190+F190)*100))</f>
        <v/>
      </c>
    </row>
    <row r="191">
      <c r="A191" s="28" t="n">
        <v>69</v>
      </c>
      <c r="B191" s="28">
        <f>IF(69&gt;$B$5+$B$6+$B$7,"—",IF(69&lt;=$B$6,"Extraction",IF(69&lt;=$B$6+$B$7,"Scrub","Strip")))</f>
        <v/>
      </c>
      <c r="C191" s="31">
        <f>IF(69&gt;$B$5+$B$6+$B$7,"",AI88)</f>
        <v/>
      </c>
      <c r="D191" s="31">
        <f>IF(69&gt;$B$5+$B$6+$B$7,"",AJ88)</f>
        <v/>
      </c>
      <c r="E191" s="31">
        <f>IF(69&gt;$B$5+$B$6+$B$7,"",AK88)</f>
        <v/>
      </c>
      <c r="F191" s="31">
        <f>IF(69&gt;$B$5+$B$6+$B$7,"",AL88)</f>
        <v/>
      </c>
      <c r="G191" s="31">
        <f>IF(69&gt;$B$5+$B$6+$B$7,"",C191+D191)</f>
        <v/>
      </c>
      <c r="H191" s="32">
        <f>IF(69&gt;$B$5+$B$6+$B$7,"",IF((C191+D191+E191+F191)=0,0,(C191+D191)/(C191+D191+E191+F191)*100))</f>
        <v/>
      </c>
      <c r="I191" s="32">
        <f>IF(69&gt;$B$5+$B$6+$B$7,"",IF((C191+D191+E191+F191)=0,0,F191/(C191+D191+E191+F191)*100))</f>
        <v/>
      </c>
    </row>
    <row r="192">
      <c r="A192" s="28" t="n">
        <v>70</v>
      </c>
      <c r="B192" s="28">
        <f>IF(70&gt;$B$5+$B$6+$B$7,"—",IF(70&lt;=$B$6,"Extraction",IF(70&lt;=$B$6+$B$7,"Scrub","Strip")))</f>
        <v/>
      </c>
      <c r="C192" s="31">
        <f>IF(70&gt;$B$5+$B$6+$B$7,"",AI89)</f>
        <v/>
      </c>
      <c r="D192" s="31">
        <f>IF(70&gt;$B$5+$B$6+$B$7,"",AJ89)</f>
        <v/>
      </c>
      <c r="E192" s="31">
        <f>IF(70&gt;$B$5+$B$6+$B$7,"",AK89)</f>
        <v/>
      </c>
      <c r="F192" s="31">
        <f>IF(70&gt;$B$5+$B$6+$B$7,"",AL89)</f>
        <v/>
      </c>
      <c r="G192" s="31">
        <f>IF(70&gt;$B$5+$B$6+$B$7,"",C192+D192)</f>
        <v/>
      </c>
      <c r="H192" s="32">
        <f>IF(70&gt;$B$5+$B$6+$B$7,"",IF((C192+D192+E192+F192)=0,0,(C192+D192)/(C192+D192+E192+F192)*100))</f>
        <v/>
      </c>
      <c r="I192" s="32">
        <f>IF(70&gt;$B$5+$B$6+$B$7,"",IF((C192+D192+E192+F192)=0,0,F192/(C192+D192+E192+F192)*100))</f>
        <v/>
      </c>
    </row>
    <row r="193">
      <c r="A193" s="28" t="n">
        <v>71</v>
      </c>
      <c r="B193" s="28">
        <f>IF(71&gt;$B$5+$B$6+$B$7,"—",IF(71&lt;=$B$6,"Extraction",IF(71&lt;=$B$6+$B$7,"Scrub","Strip")))</f>
        <v/>
      </c>
      <c r="C193" s="31">
        <f>IF(71&gt;$B$5+$B$6+$B$7,"",AI90)</f>
        <v/>
      </c>
      <c r="D193" s="31">
        <f>IF(71&gt;$B$5+$B$6+$B$7,"",AJ90)</f>
        <v/>
      </c>
      <c r="E193" s="31">
        <f>IF(71&gt;$B$5+$B$6+$B$7,"",AK90)</f>
        <v/>
      </c>
      <c r="F193" s="31">
        <f>IF(71&gt;$B$5+$B$6+$B$7,"",AL90)</f>
        <v/>
      </c>
      <c r="G193" s="31">
        <f>IF(71&gt;$B$5+$B$6+$B$7,"",C193+D193)</f>
        <v/>
      </c>
      <c r="H193" s="32">
        <f>IF(71&gt;$B$5+$B$6+$B$7,"",IF((C193+D193+E193+F193)=0,0,(C193+D193)/(C193+D193+E193+F193)*100))</f>
        <v/>
      </c>
      <c r="I193" s="32">
        <f>IF(71&gt;$B$5+$B$6+$B$7,"",IF((C193+D193+E193+F193)=0,0,F193/(C193+D193+E193+F193)*100))</f>
        <v/>
      </c>
    </row>
    <row r="194">
      <c r="A194" s="28" t="n">
        <v>72</v>
      </c>
      <c r="B194" s="28">
        <f>IF(72&gt;$B$5+$B$6+$B$7,"—",IF(72&lt;=$B$6,"Extraction",IF(72&lt;=$B$6+$B$7,"Scrub","Strip")))</f>
        <v/>
      </c>
      <c r="C194" s="31">
        <f>IF(72&gt;$B$5+$B$6+$B$7,"",AI91)</f>
        <v/>
      </c>
      <c r="D194" s="31">
        <f>IF(72&gt;$B$5+$B$6+$B$7,"",AJ91)</f>
        <v/>
      </c>
      <c r="E194" s="31">
        <f>IF(72&gt;$B$5+$B$6+$B$7,"",AK91)</f>
        <v/>
      </c>
      <c r="F194" s="31">
        <f>IF(72&gt;$B$5+$B$6+$B$7,"",AL91)</f>
        <v/>
      </c>
      <c r="G194" s="31">
        <f>IF(72&gt;$B$5+$B$6+$B$7,"",C194+D194)</f>
        <v/>
      </c>
      <c r="H194" s="32">
        <f>IF(72&gt;$B$5+$B$6+$B$7,"",IF((C194+D194+E194+F194)=0,0,(C194+D194)/(C194+D194+E194+F194)*100))</f>
        <v/>
      </c>
      <c r="I194" s="32">
        <f>IF(72&gt;$B$5+$B$6+$B$7,"",IF((C194+D194+E194+F194)=0,0,F194/(C194+D194+E194+F194)*100))</f>
        <v/>
      </c>
    </row>
    <row r="195">
      <c r="A195" s="28" t="n">
        <v>73</v>
      </c>
      <c r="B195" s="28">
        <f>IF(73&gt;$B$5+$B$6+$B$7,"—",IF(73&lt;=$B$6,"Extraction",IF(73&lt;=$B$6+$B$7,"Scrub","Strip")))</f>
        <v/>
      </c>
      <c r="C195" s="31">
        <f>IF(73&gt;$B$5+$B$6+$B$7,"",AI92)</f>
        <v/>
      </c>
      <c r="D195" s="31">
        <f>IF(73&gt;$B$5+$B$6+$B$7,"",AJ92)</f>
        <v/>
      </c>
      <c r="E195" s="31">
        <f>IF(73&gt;$B$5+$B$6+$B$7,"",AK92)</f>
        <v/>
      </c>
      <c r="F195" s="31">
        <f>IF(73&gt;$B$5+$B$6+$B$7,"",AL92)</f>
        <v/>
      </c>
      <c r="G195" s="31">
        <f>IF(73&gt;$B$5+$B$6+$B$7,"",C195+D195)</f>
        <v/>
      </c>
      <c r="H195" s="32">
        <f>IF(73&gt;$B$5+$B$6+$B$7,"",IF((C195+D195+E195+F195)=0,0,(C195+D195)/(C195+D195+E195+F195)*100))</f>
        <v/>
      </c>
      <c r="I195" s="32">
        <f>IF(73&gt;$B$5+$B$6+$B$7,"",IF((C195+D195+E195+F195)=0,0,F195/(C195+D195+E195+F195)*100))</f>
        <v/>
      </c>
    </row>
    <row r="196">
      <c r="A196" s="28" t="n">
        <v>74</v>
      </c>
      <c r="B196" s="28">
        <f>IF(74&gt;$B$5+$B$6+$B$7,"—",IF(74&lt;=$B$6,"Extraction",IF(74&lt;=$B$6+$B$7,"Scrub","Strip")))</f>
        <v/>
      </c>
      <c r="C196" s="31">
        <f>IF(74&gt;$B$5+$B$6+$B$7,"",AI93)</f>
        <v/>
      </c>
      <c r="D196" s="31">
        <f>IF(74&gt;$B$5+$B$6+$B$7,"",AJ93)</f>
        <v/>
      </c>
      <c r="E196" s="31">
        <f>IF(74&gt;$B$5+$B$6+$B$7,"",AK93)</f>
        <v/>
      </c>
      <c r="F196" s="31">
        <f>IF(74&gt;$B$5+$B$6+$B$7,"",AL93)</f>
        <v/>
      </c>
      <c r="G196" s="31">
        <f>IF(74&gt;$B$5+$B$6+$B$7,"",C196+D196)</f>
        <v/>
      </c>
      <c r="H196" s="32">
        <f>IF(74&gt;$B$5+$B$6+$B$7,"",IF((C196+D196+E196+F196)=0,0,(C196+D196)/(C196+D196+E196+F196)*100))</f>
        <v/>
      </c>
      <c r="I196" s="32">
        <f>IF(74&gt;$B$5+$B$6+$B$7,"",IF((C196+D196+E196+F196)=0,0,F196/(C196+D196+E196+F196)*100))</f>
        <v/>
      </c>
    </row>
    <row r="197">
      <c r="A197" s="28" t="n">
        <v>75</v>
      </c>
      <c r="B197" s="28">
        <f>IF(75&gt;$B$5+$B$6+$B$7,"—",IF(75&lt;=$B$6,"Extraction",IF(75&lt;=$B$6+$B$7,"Scrub","Strip")))</f>
        <v/>
      </c>
      <c r="C197" s="31">
        <f>IF(75&gt;$B$5+$B$6+$B$7,"",AI94)</f>
        <v/>
      </c>
      <c r="D197" s="31">
        <f>IF(75&gt;$B$5+$B$6+$B$7,"",AJ94)</f>
        <v/>
      </c>
      <c r="E197" s="31">
        <f>IF(75&gt;$B$5+$B$6+$B$7,"",AK94)</f>
        <v/>
      </c>
      <c r="F197" s="31">
        <f>IF(75&gt;$B$5+$B$6+$B$7,"",AL94)</f>
        <v/>
      </c>
      <c r="G197" s="31">
        <f>IF(75&gt;$B$5+$B$6+$B$7,"",C197+D197)</f>
        <v/>
      </c>
      <c r="H197" s="32">
        <f>IF(75&gt;$B$5+$B$6+$B$7,"",IF((C197+D197+E197+F197)=0,0,(C197+D197)/(C197+D197+E197+F197)*100))</f>
        <v/>
      </c>
      <c r="I197" s="32">
        <f>IF(75&gt;$B$5+$B$6+$B$7,"",IF((C197+D197+E197+F197)=0,0,F197/(C197+D197+E197+F197)*100))</f>
        <v/>
      </c>
    </row>
    <row r="198">
      <c r="A198" s="28" t="n">
        <v>76</v>
      </c>
      <c r="B198" s="28">
        <f>IF(76&gt;$B$5+$B$6+$B$7,"—",IF(76&lt;=$B$6,"Extraction",IF(76&lt;=$B$6+$B$7,"Scrub","Strip")))</f>
        <v/>
      </c>
      <c r="C198" s="31">
        <f>IF(76&gt;$B$5+$B$6+$B$7,"",AI95)</f>
        <v/>
      </c>
      <c r="D198" s="31">
        <f>IF(76&gt;$B$5+$B$6+$B$7,"",AJ95)</f>
        <v/>
      </c>
      <c r="E198" s="31">
        <f>IF(76&gt;$B$5+$B$6+$B$7,"",AK95)</f>
        <v/>
      </c>
      <c r="F198" s="31">
        <f>IF(76&gt;$B$5+$B$6+$B$7,"",AL95)</f>
        <v/>
      </c>
      <c r="G198" s="31">
        <f>IF(76&gt;$B$5+$B$6+$B$7,"",C198+D198)</f>
        <v/>
      </c>
      <c r="H198" s="32">
        <f>IF(76&gt;$B$5+$B$6+$B$7,"",IF((C198+D198+E198+F198)=0,0,(C198+D198)/(C198+D198+E198+F198)*100))</f>
        <v/>
      </c>
      <c r="I198" s="32">
        <f>IF(76&gt;$B$5+$B$6+$B$7,"",IF((C198+D198+E198+F198)=0,0,F198/(C198+D198+E198+F198)*100))</f>
        <v/>
      </c>
    </row>
    <row r="199">
      <c r="A199" s="28" t="n">
        <v>77</v>
      </c>
      <c r="B199" s="28">
        <f>IF(77&gt;$B$5+$B$6+$B$7,"—",IF(77&lt;=$B$6,"Extraction",IF(77&lt;=$B$6+$B$7,"Scrub","Strip")))</f>
        <v/>
      </c>
      <c r="C199" s="31">
        <f>IF(77&gt;$B$5+$B$6+$B$7,"",AI96)</f>
        <v/>
      </c>
      <c r="D199" s="31">
        <f>IF(77&gt;$B$5+$B$6+$B$7,"",AJ96)</f>
        <v/>
      </c>
      <c r="E199" s="31">
        <f>IF(77&gt;$B$5+$B$6+$B$7,"",AK96)</f>
        <v/>
      </c>
      <c r="F199" s="31">
        <f>IF(77&gt;$B$5+$B$6+$B$7,"",AL96)</f>
        <v/>
      </c>
      <c r="G199" s="31">
        <f>IF(77&gt;$B$5+$B$6+$B$7,"",C199+D199)</f>
        <v/>
      </c>
      <c r="H199" s="32">
        <f>IF(77&gt;$B$5+$B$6+$B$7,"",IF((C199+D199+E199+F199)=0,0,(C199+D199)/(C199+D199+E199+F199)*100))</f>
        <v/>
      </c>
      <c r="I199" s="32">
        <f>IF(77&gt;$B$5+$B$6+$B$7,"",IF((C199+D199+E199+F199)=0,0,F199/(C199+D199+E199+F199)*100))</f>
        <v/>
      </c>
    </row>
    <row r="200">
      <c r="A200" s="28" t="n">
        <v>78</v>
      </c>
      <c r="B200" s="28">
        <f>IF(78&gt;$B$5+$B$6+$B$7,"—",IF(78&lt;=$B$6,"Extraction",IF(78&lt;=$B$6+$B$7,"Scrub","Strip")))</f>
        <v/>
      </c>
      <c r="C200" s="31">
        <f>IF(78&gt;$B$5+$B$6+$B$7,"",AI97)</f>
        <v/>
      </c>
      <c r="D200" s="31">
        <f>IF(78&gt;$B$5+$B$6+$B$7,"",AJ97)</f>
        <v/>
      </c>
      <c r="E200" s="31">
        <f>IF(78&gt;$B$5+$B$6+$B$7,"",AK97)</f>
        <v/>
      </c>
      <c r="F200" s="31">
        <f>IF(78&gt;$B$5+$B$6+$B$7,"",AL97)</f>
        <v/>
      </c>
      <c r="G200" s="31">
        <f>IF(78&gt;$B$5+$B$6+$B$7,"",C200+D200)</f>
        <v/>
      </c>
      <c r="H200" s="32">
        <f>IF(78&gt;$B$5+$B$6+$B$7,"",IF((C200+D200+E200+F200)=0,0,(C200+D200)/(C200+D200+E200+F200)*100))</f>
        <v/>
      </c>
      <c r="I200" s="32">
        <f>IF(78&gt;$B$5+$B$6+$B$7,"",IF((C200+D200+E200+F200)=0,0,F200/(C200+D200+E200+F200)*100))</f>
        <v/>
      </c>
    </row>
    <row r="201">
      <c r="A201" s="28" t="n">
        <v>79</v>
      </c>
      <c r="B201" s="28">
        <f>IF(79&gt;$B$5+$B$6+$B$7,"—",IF(79&lt;=$B$6,"Extraction",IF(79&lt;=$B$6+$B$7,"Scrub","Strip")))</f>
        <v/>
      </c>
      <c r="C201" s="31">
        <f>IF(79&gt;$B$5+$B$6+$B$7,"",AI98)</f>
        <v/>
      </c>
      <c r="D201" s="31">
        <f>IF(79&gt;$B$5+$B$6+$B$7,"",AJ98)</f>
        <v/>
      </c>
      <c r="E201" s="31">
        <f>IF(79&gt;$B$5+$B$6+$B$7,"",AK98)</f>
        <v/>
      </c>
      <c r="F201" s="31">
        <f>IF(79&gt;$B$5+$B$6+$B$7,"",AL98)</f>
        <v/>
      </c>
      <c r="G201" s="31">
        <f>IF(79&gt;$B$5+$B$6+$B$7,"",C201+D201)</f>
        <v/>
      </c>
      <c r="H201" s="32">
        <f>IF(79&gt;$B$5+$B$6+$B$7,"",IF((C201+D201+E201+F201)=0,0,(C201+D201)/(C201+D201+E201+F201)*100))</f>
        <v/>
      </c>
      <c r="I201" s="32">
        <f>IF(79&gt;$B$5+$B$6+$B$7,"",IF((C201+D201+E201+F201)=0,0,F201/(C201+D201+E201+F201)*100))</f>
        <v/>
      </c>
    </row>
    <row r="202">
      <c r="A202" s="28" t="n">
        <v>80</v>
      </c>
      <c r="B202" s="28">
        <f>IF(80&gt;$B$5+$B$6+$B$7,"—",IF(80&lt;=$B$6,"Extraction",IF(80&lt;=$B$6+$B$7,"Scrub","Strip")))</f>
        <v/>
      </c>
      <c r="C202" s="31">
        <f>IF(80&gt;$B$5+$B$6+$B$7,"",AI99)</f>
        <v/>
      </c>
      <c r="D202" s="31">
        <f>IF(80&gt;$B$5+$B$6+$B$7,"",AJ99)</f>
        <v/>
      </c>
      <c r="E202" s="31">
        <f>IF(80&gt;$B$5+$B$6+$B$7,"",AK99)</f>
        <v/>
      </c>
      <c r="F202" s="31">
        <f>IF(80&gt;$B$5+$B$6+$B$7,"",AL99)</f>
        <v/>
      </c>
      <c r="G202" s="31">
        <f>IF(80&gt;$B$5+$B$6+$B$7,"",C202+D202)</f>
        <v/>
      </c>
      <c r="H202" s="32">
        <f>IF(80&gt;$B$5+$B$6+$B$7,"",IF((C202+D202+E202+F202)=0,0,(C202+D202)/(C202+D202+E202+F202)*100))</f>
        <v/>
      </c>
      <c r="I202" s="32">
        <f>IF(80&gt;$B$5+$B$6+$B$7,"",IF((C202+D202+E202+F202)=0,0,F202/(C202+D202+E202+F202)*100))</f>
        <v/>
      </c>
    </row>
    <row r="203">
      <c r="A203" s="28" t="n">
        <v>81</v>
      </c>
      <c r="B203" s="28">
        <f>IF(81&gt;$B$5+$B$6+$B$7,"—",IF(81&lt;=$B$6,"Extraction",IF(81&lt;=$B$6+$B$7,"Scrub","Strip")))</f>
        <v/>
      </c>
      <c r="C203" s="31">
        <f>IF(81&gt;$B$5+$B$6+$B$7,"",AI100)</f>
        <v/>
      </c>
      <c r="D203" s="31">
        <f>IF(81&gt;$B$5+$B$6+$B$7,"",AJ100)</f>
        <v/>
      </c>
      <c r="E203" s="31">
        <f>IF(81&gt;$B$5+$B$6+$B$7,"",AK100)</f>
        <v/>
      </c>
      <c r="F203" s="31">
        <f>IF(81&gt;$B$5+$B$6+$B$7,"",AL100)</f>
        <v/>
      </c>
      <c r="G203" s="31">
        <f>IF(81&gt;$B$5+$B$6+$B$7,"",C203+D203)</f>
        <v/>
      </c>
      <c r="H203" s="32">
        <f>IF(81&gt;$B$5+$B$6+$B$7,"",IF((C203+D203+E203+F203)=0,0,(C203+D203)/(C203+D203+E203+F203)*100))</f>
        <v/>
      </c>
      <c r="I203" s="32">
        <f>IF(81&gt;$B$5+$B$6+$B$7,"",IF((C203+D203+E203+F203)=0,0,F203/(C203+D203+E203+F203)*100))</f>
        <v/>
      </c>
    </row>
    <row r="204">
      <c r="A204" s="28" t="n">
        <v>82</v>
      </c>
      <c r="B204" s="28">
        <f>IF(82&gt;$B$5+$B$6+$B$7,"—",IF(82&lt;=$B$6,"Extraction",IF(82&lt;=$B$6+$B$7,"Scrub","Strip")))</f>
        <v/>
      </c>
      <c r="C204" s="31">
        <f>IF(82&gt;$B$5+$B$6+$B$7,"",AI101)</f>
        <v/>
      </c>
      <c r="D204" s="31">
        <f>IF(82&gt;$B$5+$B$6+$B$7,"",AJ101)</f>
        <v/>
      </c>
      <c r="E204" s="31">
        <f>IF(82&gt;$B$5+$B$6+$B$7,"",AK101)</f>
        <v/>
      </c>
      <c r="F204" s="31">
        <f>IF(82&gt;$B$5+$B$6+$B$7,"",AL101)</f>
        <v/>
      </c>
      <c r="G204" s="31">
        <f>IF(82&gt;$B$5+$B$6+$B$7,"",C204+D204)</f>
        <v/>
      </c>
      <c r="H204" s="32">
        <f>IF(82&gt;$B$5+$B$6+$B$7,"",IF((C204+D204+E204+F204)=0,0,(C204+D204)/(C204+D204+E204+F204)*100))</f>
        <v/>
      </c>
      <c r="I204" s="32">
        <f>IF(82&gt;$B$5+$B$6+$B$7,"",IF((C204+D204+E204+F204)=0,0,F204/(C204+D204+E204+F204)*100))</f>
        <v/>
      </c>
    </row>
    <row r="205">
      <c r="A205" s="28" t="n">
        <v>83</v>
      </c>
      <c r="B205" s="28">
        <f>IF(83&gt;$B$5+$B$6+$B$7,"—",IF(83&lt;=$B$6,"Extraction",IF(83&lt;=$B$6+$B$7,"Scrub","Strip")))</f>
        <v/>
      </c>
      <c r="C205" s="31">
        <f>IF(83&gt;$B$5+$B$6+$B$7,"",AI102)</f>
        <v/>
      </c>
      <c r="D205" s="31">
        <f>IF(83&gt;$B$5+$B$6+$B$7,"",AJ102)</f>
        <v/>
      </c>
      <c r="E205" s="31">
        <f>IF(83&gt;$B$5+$B$6+$B$7,"",AK102)</f>
        <v/>
      </c>
      <c r="F205" s="31">
        <f>IF(83&gt;$B$5+$B$6+$B$7,"",AL102)</f>
        <v/>
      </c>
      <c r="G205" s="31">
        <f>IF(83&gt;$B$5+$B$6+$B$7,"",C205+D205)</f>
        <v/>
      </c>
      <c r="H205" s="32">
        <f>IF(83&gt;$B$5+$B$6+$B$7,"",IF((C205+D205+E205+F205)=0,0,(C205+D205)/(C205+D205+E205+F205)*100))</f>
        <v/>
      </c>
      <c r="I205" s="32">
        <f>IF(83&gt;$B$5+$B$6+$B$7,"",IF((C205+D205+E205+F205)=0,0,F205/(C205+D205+E205+F205)*100))</f>
        <v/>
      </c>
    </row>
    <row r="206">
      <c r="A206" s="28" t="n">
        <v>84</v>
      </c>
      <c r="B206" s="28">
        <f>IF(84&gt;$B$5+$B$6+$B$7,"—",IF(84&lt;=$B$6,"Extraction",IF(84&lt;=$B$6+$B$7,"Scrub","Strip")))</f>
        <v/>
      </c>
      <c r="C206" s="31">
        <f>IF(84&gt;$B$5+$B$6+$B$7,"",AI103)</f>
        <v/>
      </c>
      <c r="D206" s="31">
        <f>IF(84&gt;$B$5+$B$6+$B$7,"",AJ103)</f>
        <v/>
      </c>
      <c r="E206" s="31">
        <f>IF(84&gt;$B$5+$B$6+$B$7,"",AK103)</f>
        <v/>
      </c>
      <c r="F206" s="31">
        <f>IF(84&gt;$B$5+$B$6+$B$7,"",AL103)</f>
        <v/>
      </c>
      <c r="G206" s="31">
        <f>IF(84&gt;$B$5+$B$6+$B$7,"",C206+D206)</f>
        <v/>
      </c>
      <c r="H206" s="32">
        <f>IF(84&gt;$B$5+$B$6+$B$7,"",IF((C206+D206+E206+F206)=0,0,(C206+D206)/(C206+D206+E206+F206)*100))</f>
        <v/>
      </c>
      <c r="I206" s="32">
        <f>IF(84&gt;$B$5+$B$6+$B$7,"",IF((C206+D206+E206+F206)=0,0,F206/(C206+D206+E206+F206)*100))</f>
        <v/>
      </c>
    </row>
    <row r="207">
      <c r="A207" s="28" t="n">
        <v>85</v>
      </c>
      <c r="B207" s="28">
        <f>IF(85&gt;$B$5+$B$6+$B$7,"—",IF(85&lt;=$B$6,"Extraction",IF(85&lt;=$B$6+$B$7,"Scrub","Strip")))</f>
        <v/>
      </c>
      <c r="C207" s="31">
        <f>IF(85&gt;$B$5+$B$6+$B$7,"",AI104)</f>
        <v/>
      </c>
      <c r="D207" s="31">
        <f>IF(85&gt;$B$5+$B$6+$B$7,"",AJ104)</f>
        <v/>
      </c>
      <c r="E207" s="31">
        <f>IF(85&gt;$B$5+$B$6+$B$7,"",AK104)</f>
        <v/>
      </c>
      <c r="F207" s="31">
        <f>IF(85&gt;$B$5+$B$6+$B$7,"",AL104)</f>
        <v/>
      </c>
      <c r="G207" s="31">
        <f>IF(85&gt;$B$5+$B$6+$B$7,"",C207+D207)</f>
        <v/>
      </c>
      <c r="H207" s="32">
        <f>IF(85&gt;$B$5+$B$6+$B$7,"",IF((C207+D207+E207+F207)=0,0,(C207+D207)/(C207+D207+E207+F207)*100))</f>
        <v/>
      </c>
      <c r="I207" s="32">
        <f>IF(85&gt;$B$5+$B$6+$B$7,"",IF((C207+D207+E207+F207)=0,0,F207/(C207+D207+E207+F207)*100))</f>
        <v/>
      </c>
    </row>
    <row r="208">
      <c r="A208" s="28" t="n">
        <v>86</v>
      </c>
      <c r="B208" s="28">
        <f>IF(86&gt;$B$5+$B$6+$B$7,"—",IF(86&lt;=$B$6,"Extraction",IF(86&lt;=$B$6+$B$7,"Scrub","Strip")))</f>
        <v/>
      </c>
      <c r="C208" s="31">
        <f>IF(86&gt;$B$5+$B$6+$B$7,"",AI105)</f>
        <v/>
      </c>
      <c r="D208" s="31">
        <f>IF(86&gt;$B$5+$B$6+$B$7,"",AJ105)</f>
        <v/>
      </c>
      <c r="E208" s="31">
        <f>IF(86&gt;$B$5+$B$6+$B$7,"",AK105)</f>
        <v/>
      </c>
      <c r="F208" s="31">
        <f>IF(86&gt;$B$5+$B$6+$B$7,"",AL105)</f>
        <v/>
      </c>
      <c r="G208" s="31">
        <f>IF(86&gt;$B$5+$B$6+$B$7,"",C208+D208)</f>
        <v/>
      </c>
      <c r="H208" s="32">
        <f>IF(86&gt;$B$5+$B$6+$B$7,"",IF((C208+D208+E208+F208)=0,0,(C208+D208)/(C208+D208+E208+F208)*100))</f>
        <v/>
      </c>
      <c r="I208" s="32">
        <f>IF(86&gt;$B$5+$B$6+$B$7,"",IF((C208+D208+E208+F208)=0,0,F208/(C208+D208+E208+F208)*100))</f>
        <v/>
      </c>
    </row>
    <row r="209">
      <c r="A209" s="28" t="n">
        <v>87</v>
      </c>
      <c r="B209" s="28">
        <f>IF(87&gt;$B$5+$B$6+$B$7,"—",IF(87&lt;=$B$6,"Extraction",IF(87&lt;=$B$6+$B$7,"Scrub","Strip")))</f>
        <v/>
      </c>
      <c r="C209" s="31">
        <f>IF(87&gt;$B$5+$B$6+$B$7,"",AI106)</f>
        <v/>
      </c>
      <c r="D209" s="31">
        <f>IF(87&gt;$B$5+$B$6+$B$7,"",AJ106)</f>
        <v/>
      </c>
      <c r="E209" s="31">
        <f>IF(87&gt;$B$5+$B$6+$B$7,"",AK106)</f>
        <v/>
      </c>
      <c r="F209" s="31">
        <f>IF(87&gt;$B$5+$B$6+$B$7,"",AL106)</f>
        <v/>
      </c>
      <c r="G209" s="31">
        <f>IF(87&gt;$B$5+$B$6+$B$7,"",C209+D209)</f>
        <v/>
      </c>
      <c r="H209" s="32">
        <f>IF(87&gt;$B$5+$B$6+$B$7,"",IF((C209+D209+E209+F209)=0,0,(C209+D209)/(C209+D209+E209+F209)*100))</f>
        <v/>
      </c>
      <c r="I209" s="32">
        <f>IF(87&gt;$B$5+$B$6+$B$7,"",IF((C209+D209+E209+F209)=0,0,F209/(C209+D209+E209+F209)*100))</f>
        <v/>
      </c>
    </row>
    <row r="210">
      <c r="A210" s="28" t="n">
        <v>88</v>
      </c>
      <c r="B210" s="28">
        <f>IF(88&gt;$B$5+$B$6+$B$7,"—",IF(88&lt;=$B$6,"Extraction",IF(88&lt;=$B$6+$B$7,"Scrub","Strip")))</f>
        <v/>
      </c>
      <c r="C210" s="31">
        <f>IF(88&gt;$B$5+$B$6+$B$7,"",AI107)</f>
        <v/>
      </c>
      <c r="D210" s="31">
        <f>IF(88&gt;$B$5+$B$6+$B$7,"",AJ107)</f>
        <v/>
      </c>
      <c r="E210" s="31">
        <f>IF(88&gt;$B$5+$B$6+$B$7,"",AK107)</f>
        <v/>
      </c>
      <c r="F210" s="31">
        <f>IF(88&gt;$B$5+$B$6+$B$7,"",AL107)</f>
        <v/>
      </c>
      <c r="G210" s="31">
        <f>IF(88&gt;$B$5+$B$6+$B$7,"",C210+D210)</f>
        <v/>
      </c>
      <c r="H210" s="32">
        <f>IF(88&gt;$B$5+$B$6+$B$7,"",IF((C210+D210+E210+F210)=0,0,(C210+D210)/(C210+D210+E210+F210)*100))</f>
        <v/>
      </c>
      <c r="I210" s="32">
        <f>IF(88&gt;$B$5+$B$6+$B$7,"",IF((C210+D210+E210+F210)=0,0,F210/(C210+D210+E210+F210)*100))</f>
        <v/>
      </c>
    </row>
    <row r="211">
      <c r="A211" s="28" t="n">
        <v>89</v>
      </c>
      <c r="B211" s="28">
        <f>IF(89&gt;$B$5+$B$6+$B$7,"—",IF(89&lt;=$B$6,"Extraction",IF(89&lt;=$B$6+$B$7,"Scrub","Strip")))</f>
        <v/>
      </c>
      <c r="C211" s="31">
        <f>IF(89&gt;$B$5+$B$6+$B$7,"",AI108)</f>
        <v/>
      </c>
      <c r="D211" s="31">
        <f>IF(89&gt;$B$5+$B$6+$B$7,"",AJ108)</f>
        <v/>
      </c>
      <c r="E211" s="31">
        <f>IF(89&gt;$B$5+$B$6+$B$7,"",AK108)</f>
        <v/>
      </c>
      <c r="F211" s="31">
        <f>IF(89&gt;$B$5+$B$6+$B$7,"",AL108)</f>
        <v/>
      </c>
      <c r="G211" s="31">
        <f>IF(89&gt;$B$5+$B$6+$B$7,"",C211+D211)</f>
        <v/>
      </c>
      <c r="H211" s="32">
        <f>IF(89&gt;$B$5+$B$6+$B$7,"",IF((C211+D211+E211+F211)=0,0,(C211+D211)/(C211+D211+E211+F211)*100))</f>
        <v/>
      </c>
      <c r="I211" s="32">
        <f>IF(89&gt;$B$5+$B$6+$B$7,"",IF((C211+D211+E211+F211)=0,0,F211/(C211+D211+E211+F211)*100))</f>
        <v/>
      </c>
    </row>
    <row r="212">
      <c r="A212" s="28" t="n">
        <v>90</v>
      </c>
      <c r="B212" s="28">
        <f>IF(90&gt;$B$5+$B$6+$B$7,"—",IF(90&lt;=$B$6,"Extraction",IF(90&lt;=$B$6+$B$7,"Scrub","Strip")))</f>
        <v/>
      </c>
      <c r="C212" s="31">
        <f>IF(90&gt;$B$5+$B$6+$B$7,"",AI109)</f>
        <v/>
      </c>
      <c r="D212" s="31">
        <f>IF(90&gt;$B$5+$B$6+$B$7,"",AJ109)</f>
        <v/>
      </c>
      <c r="E212" s="31">
        <f>IF(90&gt;$B$5+$B$6+$B$7,"",AK109)</f>
        <v/>
      </c>
      <c r="F212" s="31">
        <f>IF(90&gt;$B$5+$B$6+$B$7,"",AL109)</f>
        <v/>
      </c>
      <c r="G212" s="31">
        <f>IF(90&gt;$B$5+$B$6+$B$7,"",C212+D212)</f>
        <v/>
      </c>
      <c r="H212" s="32">
        <f>IF(90&gt;$B$5+$B$6+$B$7,"",IF((C212+D212+E212+F212)=0,0,(C212+D212)/(C212+D212+E212+F212)*100))</f>
        <v/>
      </c>
      <c r="I212" s="32">
        <f>IF(90&gt;$B$5+$B$6+$B$7,"",IF((C212+D212+E212+F212)=0,0,F212/(C212+D212+E212+F212)*100))</f>
        <v/>
      </c>
    </row>
    <row r="213">
      <c r="A213" s="28" t="n">
        <v>91</v>
      </c>
      <c r="B213" s="28">
        <f>IF(91&gt;$B$5+$B$6+$B$7,"—",IF(91&lt;=$B$6,"Extraction",IF(91&lt;=$B$6+$B$7,"Scrub","Strip")))</f>
        <v/>
      </c>
      <c r="C213" s="31">
        <f>IF(91&gt;$B$5+$B$6+$B$7,"",AI110)</f>
        <v/>
      </c>
      <c r="D213" s="31">
        <f>IF(91&gt;$B$5+$B$6+$B$7,"",AJ110)</f>
        <v/>
      </c>
      <c r="E213" s="31">
        <f>IF(91&gt;$B$5+$B$6+$B$7,"",AK110)</f>
        <v/>
      </c>
      <c r="F213" s="31">
        <f>IF(91&gt;$B$5+$B$6+$B$7,"",AL110)</f>
        <v/>
      </c>
      <c r="G213" s="31">
        <f>IF(91&gt;$B$5+$B$6+$B$7,"",C213+D213)</f>
        <v/>
      </c>
      <c r="H213" s="32">
        <f>IF(91&gt;$B$5+$B$6+$B$7,"",IF((C213+D213+E213+F213)=0,0,(C213+D213)/(C213+D213+E213+F213)*100))</f>
        <v/>
      </c>
      <c r="I213" s="32">
        <f>IF(91&gt;$B$5+$B$6+$B$7,"",IF((C213+D213+E213+F213)=0,0,F213/(C213+D213+E213+F213)*100))</f>
        <v/>
      </c>
    </row>
    <row r="214">
      <c r="A214" s="28" t="n">
        <v>92</v>
      </c>
      <c r="B214" s="28">
        <f>IF(92&gt;$B$5+$B$6+$B$7,"—",IF(92&lt;=$B$6,"Extraction",IF(92&lt;=$B$6+$B$7,"Scrub","Strip")))</f>
        <v/>
      </c>
      <c r="C214" s="31">
        <f>IF(92&gt;$B$5+$B$6+$B$7,"",AI111)</f>
        <v/>
      </c>
      <c r="D214" s="31">
        <f>IF(92&gt;$B$5+$B$6+$B$7,"",AJ111)</f>
        <v/>
      </c>
      <c r="E214" s="31">
        <f>IF(92&gt;$B$5+$B$6+$B$7,"",AK111)</f>
        <v/>
      </c>
      <c r="F214" s="31">
        <f>IF(92&gt;$B$5+$B$6+$B$7,"",AL111)</f>
        <v/>
      </c>
      <c r="G214" s="31">
        <f>IF(92&gt;$B$5+$B$6+$B$7,"",C214+D214)</f>
        <v/>
      </c>
      <c r="H214" s="32">
        <f>IF(92&gt;$B$5+$B$6+$B$7,"",IF((C214+D214+E214+F214)=0,0,(C214+D214)/(C214+D214+E214+F214)*100))</f>
        <v/>
      </c>
      <c r="I214" s="32">
        <f>IF(92&gt;$B$5+$B$6+$B$7,"",IF((C214+D214+E214+F214)=0,0,F214/(C214+D214+E214+F214)*100))</f>
        <v/>
      </c>
    </row>
    <row r="215">
      <c r="A215" s="28" t="n">
        <v>93</v>
      </c>
      <c r="B215" s="28">
        <f>IF(93&gt;$B$5+$B$6+$B$7,"—",IF(93&lt;=$B$6,"Extraction",IF(93&lt;=$B$6+$B$7,"Scrub","Strip")))</f>
        <v/>
      </c>
      <c r="C215" s="31">
        <f>IF(93&gt;$B$5+$B$6+$B$7,"",AI112)</f>
        <v/>
      </c>
      <c r="D215" s="31">
        <f>IF(93&gt;$B$5+$B$6+$B$7,"",AJ112)</f>
        <v/>
      </c>
      <c r="E215" s="31">
        <f>IF(93&gt;$B$5+$B$6+$B$7,"",AK112)</f>
        <v/>
      </c>
      <c r="F215" s="31">
        <f>IF(93&gt;$B$5+$B$6+$B$7,"",AL112)</f>
        <v/>
      </c>
      <c r="G215" s="31">
        <f>IF(93&gt;$B$5+$B$6+$B$7,"",C215+D215)</f>
        <v/>
      </c>
      <c r="H215" s="32">
        <f>IF(93&gt;$B$5+$B$6+$B$7,"",IF((C215+D215+E215+F215)=0,0,(C215+D215)/(C215+D215+E215+F215)*100))</f>
        <v/>
      </c>
      <c r="I215" s="32">
        <f>IF(93&gt;$B$5+$B$6+$B$7,"",IF((C215+D215+E215+F215)=0,0,F215/(C215+D215+E215+F215)*100))</f>
        <v/>
      </c>
    </row>
    <row r="216">
      <c r="A216" s="28" t="n">
        <v>94</v>
      </c>
      <c r="B216" s="28">
        <f>IF(94&gt;$B$5+$B$6+$B$7,"—",IF(94&lt;=$B$6,"Extraction",IF(94&lt;=$B$6+$B$7,"Scrub","Strip")))</f>
        <v/>
      </c>
      <c r="C216" s="31">
        <f>IF(94&gt;$B$5+$B$6+$B$7,"",AI113)</f>
        <v/>
      </c>
      <c r="D216" s="31">
        <f>IF(94&gt;$B$5+$B$6+$B$7,"",AJ113)</f>
        <v/>
      </c>
      <c r="E216" s="31">
        <f>IF(94&gt;$B$5+$B$6+$B$7,"",AK113)</f>
        <v/>
      </c>
      <c r="F216" s="31">
        <f>IF(94&gt;$B$5+$B$6+$B$7,"",AL113)</f>
        <v/>
      </c>
      <c r="G216" s="31">
        <f>IF(94&gt;$B$5+$B$6+$B$7,"",C216+D216)</f>
        <v/>
      </c>
      <c r="H216" s="32">
        <f>IF(94&gt;$B$5+$B$6+$B$7,"",IF((C216+D216+E216+F216)=0,0,(C216+D216)/(C216+D216+E216+F216)*100))</f>
        <v/>
      </c>
      <c r="I216" s="32">
        <f>IF(94&gt;$B$5+$B$6+$B$7,"",IF((C216+D216+E216+F216)=0,0,F216/(C216+D216+E216+F216)*100))</f>
        <v/>
      </c>
    </row>
    <row r="217">
      <c r="A217" s="28" t="n">
        <v>95</v>
      </c>
      <c r="B217" s="28">
        <f>IF(95&gt;$B$5+$B$6+$B$7,"—",IF(95&lt;=$B$6,"Extraction",IF(95&lt;=$B$6+$B$7,"Scrub","Strip")))</f>
        <v/>
      </c>
      <c r="C217" s="31">
        <f>IF(95&gt;$B$5+$B$6+$B$7,"",AI114)</f>
        <v/>
      </c>
      <c r="D217" s="31">
        <f>IF(95&gt;$B$5+$B$6+$B$7,"",AJ114)</f>
        <v/>
      </c>
      <c r="E217" s="31">
        <f>IF(95&gt;$B$5+$B$6+$B$7,"",AK114)</f>
        <v/>
      </c>
      <c r="F217" s="31">
        <f>IF(95&gt;$B$5+$B$6+$B$7,"",AL114)</f>
        <v/>
      </c>
      <c r="G217" s="31">
        <f>IF(95&gt;$B$5+$B$6+$B$7,"",C217+D217)</f>
        <v/>
      </c>
      <c r="H217" s="32">
        <f>IF(95&gt;$B$5+$B$6+$B$7,"",IF((C217+D217+E217+F217)=0,0,(C217+D217)/(C217+D217+E217+F217)*100))</f>
        <v/>
      </c>
      <c r="I217" s="32">
        <f>IF(95&gt;$B$5+$B$6+$B$7,"",IF((C217+D217+E217+F217)=0,0,F217/(C217+D217+E217+F217)*100))</f>
        <v/>
      </c>
    </row>
    <row r="218">
      <c r="A218" s="28" t="n">
        <v>96</v>
      </c>
      <c r="B218" s="28">
        <f>IF(96&gt;$B$5+$B$6+$B$7,"—",IF(96&lt;=$B$6,"Extraction",IF(96&lt;=$B$6+$B$7,"Scrub","Strip")))</f>
        <v/>
      </c>
      <c r="C218" s="31">
        <f>IF(96&gt;$B$5+$B$6+$B$7,"",AI115)</f>
        <v/>
      </c>
      <c r="D218" s="31">
        <f>IF(96&gt;$B$5+$B$6+$B$7,"",AJ115)</f>
        <v/>
      </c>
      <c r="E218" s="31">
        <f>IF(96&gt;$B$5+$B$6+$B$7,"",AK115)</f>
        <v/>
      </c>
      <c r="F218" s="31">
        <f>IF(96&gt;$B$5+$B$6+$B$7,"",AL115)</f>
        <v/>
      </c>
      <c r="G218" s="31">
        <f>IF(96&gt;$B$5+$B$6+$B$7,"",C218+D218)</f>
        <v/>
      </c>
      <c r="H218" s="32">
        <f>IF(96&gt;$B$5+$B$6+$B$7,"",IF((C218+D218+E218+F218)=0,0,(C218+D218)/(C218+D218+E218+F218)*100))</f>
        <v/>
      </c>
      <c r="I218" s="32">
        <f>IF(96&gt;$B$5+$B$6+$B$7,"",IF((C218+D218+E218+F218)=0,0,F218/(C218+D218+E218+F218)*100))</f>
        <v/>
      </c>
    </row>
    <row r="219">
      <c r="A219" s="28" t="n">
        <v>97</v>
      </c>
      <c r="B219" s="28">
        <f>IF(97&gt;$B$5+$B$6+$B$7,"—",IF(97&lt;=$B$6,"Extraction",IF(97&lt;=$B$6+$B$7,"Scrub","Strip")))</f>
        <v/>
      </c>
      <c r="C219" s="31">
        <f>IF(97&gt;$B$5+$B$6+$B$7,"",AI116)</f>
        <v/>
      </c>
      <c r="D219" s="31">
        <f>IF(97&gt;$B$5+$B$6+$B$7,"",AJ116)</f>
        <v/>
      </c>
      <c r="E219" s="31">
        <f>IF(97&gt;$B$5+$B$6+$B$7,"",AK116)</f>
        <v/>
      </c>
      <c r="F219" s="31">
        <f>IF(97&gt;$B$5+$B$6+$B$7,"",AL116)</f>
        <v/>
      </c>
      <c r="G219" s="31">
        <f>IF(97&gt;$B$5+$B$6+$B$7,"",C219+D219)</f>
        <v/>
      </c>
      <c r="H219" s="32">
        <f>IF(97&gt;$B$5+$B$6+$B$7,"",IF((C219+D219+E219+F219)=0,0,(C219+D219)/(C219+D219+E219+F219)*100))</f>
        <v/>
      </c>
      <c r="I219" s="32">
        <f>IF(97&gt;$B$5+$B$6+$B$7,"",IF((C219+D219+E219+F219)=0,0,F219/(C219+D219+E219+F219)*100))</f>
        <v/>
      </c>
    </row>
    <row r="220">
      <c r="A220" s="28" t="n">
        <v>98</v>
      </c>
      <c r="B220" s="28">
        <f>IF(98&gt;$B$5+$B$6+$B$7,"—",IF(98&lt;=$B$6,"Extraction",IF(98&lt;=$B$6+$B$7,"Scrub","Strip")))</f>
        <v/>
      </c>
      <c r="C220" s="31">
        <f>IF(98&gt;$B$5+$B$6+$B$7,"",AI117)</f>
        <v/>
      </c>
      <c r="D220" s="31">
        <f>IF(98&gt;$B$5+$B$6+$B$7,"",AJ117)</f>
        <v/>
      </c>
      <c r="E220" s="31">
        <f>IF(98&gt;$B$5+$B$6+$B$7,"",AK117)</f>
        <v/>
      </c>
      <c r="F220" s="31">
        <f>IF(98&gt;$B$5+$B$6+$B$7,"",AL117)</f>
        <v/>
      </c>
      <c r="G220" s="31">
        <f>IF(98&gt;$B$5+$B$6+$B$7,"",C220+D220)</f>
        <v/>
      </c>
      <c r="H220" s="32">
        <f>IF(98&gt;$B$5+$B$6+$B$7,"",IF((C220+D220+E220+F220)=0,0,(C220+D220)/(C220+D220+E220+F220)*100))</f>
        <v/>
      </c>
      <c r="I220" s="32">
        <f>IF(98&gt;$B$5+$B$6+$B$7,"",IF((C220+D220+E220+F220)=0,0,F220/(C220+D220+E220+F220)*100))</f>
        <v/>
      </c>
    </row>
    <row r="221">
      <c r="A221" s="28" t="n">
        <v>99</v>
      </c>
      <c r="B221" s="28">
        <f>IF(99&gt;$B$5+$B$6+$B$7,"—",IF(99&lt;=$B$6,"Extraction",IF(99&lt;=$B$6+$B$7,"Scrub","Strip")))</f>
        <v/>
      </c>
      <c r="C221" s="31">
        <f>IF(99&gt;$B$5+$B$6+$B$7,"",AI118)</f>
        <v/>
      </c>
      <c r="D221" s="31">
        <f>IF(99&gt;$B$5+$B$6+$B$7,"",AJ118)</f>
        <v/>
      </c>
      <c r="E221" s="31">
        <f>IF(99&gt;$B$5+$B$6+$B$7,"",AK118)</f>
        <v/>
      </c>
      <c r="F221" s="31">
        <f>IF(99&gt;$B$5+$B$6+$B$7,"",AL118)</f>
        <v/>
      </c>
      <c r="G221" s="31">
        <f>IF(99&gt;$B$5+$B$6+$B$7,"",C221+D221)</f>
        <v/>
      </c>
      <c r="H221" s="32">
        <f>IF(99&gt;$B$5+$B$6+$B$7,"",IF((C221+D221+E221+F221)=0,0,(C221+D221)/(C221+D221+E221+F221)*100))</f>
        <v/>
      </c>
      <c r="I221" s="32">
        <f>IF(99&gt;$B$5+$B$6+$B$7,"",IF((C221+D221+E221+F221)=0,0,F221/(C221+D221+E221+F221)*100))</f>
        <v/>
      </c>
    </row>
    <row r="222">
      <c r="A222" s="28" t="n">
        <v>100</v>
      </c>
      <c r="B222" s="28">
        <f>IF(100&gt;$B$5+$B$6+$B$7,"—",IF(100&lt;=$B$6,"Extraction",IF(100&lt;=$B$6+$B$7,"Scrub","Strip")))</f>
        <v/>
      </c>
      <c r="C222" s="31">
        <f>IF(100&gt;$B$5+$B$6+$B$7,"",AI119)</f>
        <v/>
      </c>
      <c r="D222" s="31">
        <f>IF(100&gt;$B$5+$B$6+$B$7,"",AJ119)</f>
        <v/>
      </c>
      <c r="E222" s="31">
        <f>IF(100&gt;$B$5+$B$6+$B$7,"",AK119)</f>
        <v/>
      </c>
      <c r="F222" s="31">
        <f>IF(100&gt;$B$5+$B$6+$B$7,"",AL119)</f>
        <v/>
      </c>
      <c r="G222" s="31">
        <f>IF(100&gt;$B$5+$B$6+$B$7,"",C222+D222)</f>
        <v/>
      </c>
      <c r="H222" s="32">
        <f>IF(100&gt;$B$5+$B$6+$B$7,"",IF((C222+D222+E222+F222)=0,0,(C222+D222)/(C222+D222+E222+F222)*100))</f>
        <v/>
      </c>
      <c r="I222" s="32">
        <f>IF(100&gt;$B$5+$B$6+$B$7,"",IF((C222+D222+E222+F222)=0,0,F222/(C222+D222+E222+F222)*100))</f>
        <v/>
      </c>
    </row>
    <row r="263" ht="12" customHeight="1"/>
    <row r="264" ht="26" customHeight="1">
      <c r="A264" s="33" t="inlineStr">
        <is>
          <t xml:space="preserve">  SAPONIFICATION  ·  ORGANIC LOADING  ·  REAGENT REQUIREMENTS</t>
        </is>
      </c>
      <c r="E264" s="34" t="n"/>
      <c r="J264" s="34" t="n"/>
    </row>
    <row r="265" ht="17" customHeight="1">
      <c r="A265" s="35" t="inlineStr">
        <is>
          <t xml:space="preserve">  Organic System — Inputs</t>
        </is>
      </c>
      <c r="E265" s="34" t="n"/>
      <c r="F265" s="35" t="inlineStr">
        <is>
          <t xml:space="preserve">  Saponification Calculation</t>
        </is>
      </c>
      <c r="J265" s="34" t="n"/>
      <c r="K265" s="35" t="inlineStr">
        <is>
          <t xml:space="preserve">  Maximum Organic Loading</t>
        </is>
      </c>
    </row>
    <row r="266" ht="15" customHeight="1">
      <c r="A266" s="36" t="inlineStr">
        <is>
          <t>Parameter</t>
        </is>
      </c>
      <c r="B266" s="36" t="inlineStr">
        <is>
          <t>Value</t>
        </is>
      </c>
      <c r="C266" s="36" t="inlineStr">
        <is>
          <t>Units</t>
        </is>
      </c>
      <c r="D266" s="36" t="inlineStr"/>
      <c r="E266" s="37" t="n"/>
      <c r="F266" s="36" t="inlineStr">
        <is>
          <t>Parameter</t>
        </is>
      </c>
      <c r="G266" s="36" t="inlineStr">
        <is>
          <t>Value</t>
        </is>
      </c>
      <c r="H266" s="36" t="inlineStr">
        <is>
          <t>Units</t>
        </is>
      </c>
      <c r="I266" s="36" t="inlineStr"/>
      <c r="J266" s="37" t="n"/>
      <c r="K266" s="36" t="inlineStr">
        <is>
          <t>Parameter</t>
        </is>
      </c>
      <c r="L266" s="36" t="inlineStr">
        <is>
          <t>Value</t>
        </is>
      </c>
      <c r="M266" s="36" t="inlineStr">
        <is>
          <t>Units</t>
        </is>
      </c>
      <c r="N266" s="36" t="inlineStr"/>
    </row>
    <row r="267" ht="15" customHeight="1">
      <c r="A267" s="38" t="inlineStr">
        <is>
          <t>Extractant</t>
        </is>
      </c>
      <c r="B267" s="11" t="inlineStr">
        <is>
          <t>Cyanex 801</t>
        </is>
      </c>
      <c r="C267" s="39" t="inlineStr">
        <is>
          <t>—</t>
        </is>
      </c>
      <c r="D267" s="40" t="n"/>
      <c r="E267" s="34" t="n"/>
      <c r="F267" s="41" t="inlineStr">
        <is>
          <t xml:space="preserve">  Loaded Organic at Extraction Exit</t>
        </is>
      </c>
      <c r="J267" s="34" t="n"/>
      <c r="K267" s="41" t="inlineStr">
        <is>
          <t xml:space="preserve">  Extractant Capacity</t>
        </is>
      </c>
    </row>
    <row r="268" ht="16" customHeight="1">
      <c r="A268" s="38" t="inlineStr">
        <is>
          <t>Extractant  MW</t>
        </is>
      </c>
      <c r="B268" s="42">
        <f>IF(B267="D2EHPA",322.4,IF(B267="Cyanex 801",290.4,322.4))</f>
        <v/>
      </c>
      <c r="C268" s="39" t="inlineStr">
        <is>
          <t>g/mol</t>
        </is>
      </c>
      <c r="D268" s="40" t="n"/>
      <c r="E268" s="34" t="n"/>
      <c r="F268" s="38" t="inlineStr">
        <is>
          <t>y_Pr  (org. conc., ext exit)</t>
        </is>
      </c>
      <c r="G268" s="43">
        <f>INDEX($J:$J,19+$B$6)</f>
        <v/>
      </c>
      <c r="H268" s="39" t="inlineStr">
        <is>
          <t>g/L org</t>
        </is>
      </c>
      <c r="I268" s="40" t="n"/>
      <c r="J268" s="34" t="n"/>
      <c r="K268" s="38" t="inlineStr">
        <is>
          <t>Available capacity  [extractant / 3]</t>
        </is>
      </c>
      <c r="L268" s="44">
        <f>B274/3</f>
        <v/>
      </c>
      <c r="M268" s="39" t="inlineStr">
        <is>
          <t>mol REE / L org</t>
        </is>
      </c>
      <c r="N268" s="40" t="n"/>
    </row>
    <row r="269" ht="15" customHeight="1">
      <c r="A269" s="38" t="inlineStr">
        <is>
          <t>Diluent</t>
        </is>
      </c>
      <c r="B269" s="11" t="inlineStr">
        <is>
          <t>Orfom</t>
        </is>
      </c>
      <c r="C269" s="39" t="inlineStr">
        <is>
          <t>—</t>
        </is>
      </c>
      <c r="D269" s="40" t="n"/>
      <c r="E269" s="34" t="n"/>
      <c r="F269" s="38" t="inlineStr">
        <is>
          <t>y_Nd  (org. conc., ext exit)</t>
        </is>
      </c>
      <c r="G269" s="43">
        <f>INDEX($R:$R,19+$B$6)</f>
        <v/>
      </c>
      <c r="H269" s="39" t="inlineStr">
        <is>
          <t>g/L org</t>
        </is>
      </c>
      <c r="I269" s="40" t="n"/>
      <c r="J269" s="34" t="n"/>
      <c r="K269" s="41" t="inlineStr">
        <is>
          <t xml:space="preserve">  Max Loading per Element  (if pure feed)</t>
        </is>
      </c>
    </row>
    <row r="270" ht="16" customHeight="1">
      <c r="A270" s="38" t="inlineStr">
        <is>
          <t>Diluent density</t>
        </is>
      </c>
      <c r="B270" s="44">
        <f>IF(B269="Orfom",0.785,IF(B269="Kerosene",0.8,0.785))</f>
        <v/>
      </c>
      <c r="C270" s="39" t="inlineStr">
        <is>
          <t>g/mL</t>
        </is>
      </c>
      <c r="D270" s="40" t="n"/>
      <c r="E270" s="34" t="n"/>
      <c r="F270" s="38" t="inlineStr">
        <is>
          <t>y_Tb  (org. conc., ext exit)</t>
        </is>
      </c>
      <c r="G270" s="43">
        <f>INDEX($Z:$Z,19+$B$6)</f>
        <v/>
      </c>
      <c r="H270" s="39" t="inlineStr">
        <is>
          <t>g/L org</t>
        </is>
      </c>
      <c r="I270" s="40" t="n"/>
      <c r="J270" s="34" t="n"/>
      <c r="K270" s="38" t="inlineStr">
        <is>
          <t>Max loading — Pr  (pure Pr feed)</t>
        </is>
      </c>
      <c r="L270" s="42">
        <f>L268*140.91</f>
        <v/>
      </c>
      <c r="M270" s="39" t="inlineStr">
        <is>
          <t>g/L org</t>
        </is>
      </c>
      <c r="N270" s="40" t="n"/>
    </row>
    <row r="271" ht="16" customHeight="1">
      <c r="A271" s="38" t="inlineStr">
        <is>
          <t>Organic density</t>
        </is>
      </c>
      <c r="B271" s="44">
        <f>B272/100*IF(B267="D2EHPA",0.975,0.87)+(1-B272/100)*B270</f>
        <v/>
      </c>
      <c r="C271" s="39" t="inlineStr">
        <is>
          <t>g/mL</t>
        </is>
      </c>
      <c r="D271" s="40" t="n"/>
      <c r="E271" s="34" t="n"/>
      <c r="F271" s="38" t="inlineStr">
        <is>
          <t>y_Dy  (org. conc., ext exit)</t>
        </is>
      </c>
      <c r="G271" s="43">
        <f>INDEX($AH:$AH,19+$B$6)</f>
        <v/>
      </c>
      <c r="H271" s="39" t="inlineStr">
        <is>
          <t>g/L org</t>
        </is>
      </c>
      <c r="I271" s="40" t="n"/>
      <c r="J271" s="34" t="n"/>
      <c r="K271" s="38" t="inlineStr">
        <is>
          <t>Max loading — Nd  (pure Nd feed)</t>
        </is>
      </c>
      <c r="L271" s="42">
        <f>L268*144.24</f>
        <v/>
      </c>
      <c r="M271" s="39" t="inlineStr">
        <is>
          <t>g/L org</t>
        </is>
      </c>
      <c r="N271" s="40" t="n"/>
    </row>
    <row r="272" ht="16" customHeight="1">
      <c r="A272" s="38" t="inlineStr">
        <is>
          <t>% Extractant</t>
        </is>
      </c>
      <c r="B272" s="45" t="n">
        <v>10</v>
      </c>
      <c r="C272" s="39" t="inlineStr">
        <is>
          <t>vol %</t>
        </is>
      </c>
      <c r="D272" s="40" t="n"/>
      <c r="E272" s="34" t="n"/>
      <c r="F272" s="46" t="inlineStr">
        <is>
          <t>Total loaded organic</t>
        </is>
      </c>
      <c r="G272" s="47">
        <f>G268+G269+G270+G271</f>
        <v/>
      </c>
      <c r="H272" s="39" t="inlineStr">
        <is>
          <t>g/L org</t>
        </is>
      </c>
      <c r="I272" s="40" t="n"/>
      <c r="J272" s="34" t="n"/>
      <c r="K272" s="38" t="inlineStr">
        <is>
          <t>Max loading — Tb  (pure Tb feed)</t>
        </is>
      </c>
      <c r="L272" s="42">
        <f>L268*158.93</f>
        <v/>
      </c>
      <c r="M272" s="39" t="inlineStr">
        <is>
          <t>g/L org</t>
        </is>
      </c>
      <c r="N272" s="40" t="n"/>
    </row>
    <row r="273" ht="15" customHeight="1">
      <c r="A273" s="38" t="inlineStr">
        <is>
          <t>[Extractant]</t>
        </is>
      </c>
      <c r="B273" s="42">
        <f>B272/100*B271*1000</f>
        <v/>
      </c>
      <c r="C273" s="39" t="inlineStr">
        <is>
          <t>g/L org</t>
        </is>
      </c>
      <c r="D273" s="40" t="n"/>
      <c r="E273" s="34" t="n"/>
      <c r="F273" s="41" t="inlineStr">
        <is>
          <t xml:space="preserve">  Theoretical NaOH  (Alind Eq. 10 — 3 mol NaOH per mol REE³⁺)</t>
        </is>
      </c>
      <c r="J273" s="34" t="n"/>
      <c r="K273" s="38" t="inlineStr">
        <is>
          <t>Max loading — Dy  (pure Dy feed)</t>
        </is>
      </c>
      <c r="L273" s="42">
        <f>L268*162.5</f>
        <v/>
      </c>
      <c r="M273" s="39" t="inlineStr">
        <is>
          <t>g/L org</t>
        </is>
      </c>
      <c r="N273" s="40" t="n"/>
    </row>
    <row r="274" ht="15" customHeight="1">
      <c r="A274" s="38" t="inlineStr">
        <is>
          <t>[Extractant]</t>
        </is>
      </c>
      <c r="B274" s="44">
        <f>IF(B268=0,0,B273/B268)</f>
        <v/>
      </c>
      <c r="C274" s="39" t="inlineStr">
        <is>
          <t>mol/L org</t>
        </is>
      </c>
      <c r="D274" s="40" t="n"/>
      <c r="E274" s="34" t="n"/>
      <c r="F274" s="38" t="inlineStr">
        <is>
          <t>NaOH required</t>
        </is>
      </c>
      <c r="G274" s="44">
        <f>3*$B$14*(G268/140.91+G269/144.24+G270/158.93+G271/162.5)</f>
        <v/>
      </c>
      <c r="H274" s="39" t="inlineStr">
        <is>
          <t>mol / [O·time]</t>
        </is>
      </c>
      <c r="I274" s="40" t="n"/>
      <c r="J274" s="34" t="n"/>
      <c r="K274" s="41" t="inlineStr">
        <is>
          <t xml:space="preserve">  Max Loading — Current Feed Composition</t>
        </is>
      </c>
    </row>
    <row r="275" ht="16" customHeight="1">
      <c r="A275" s="38" t="inlineStr">
        <is>
          <t>NaOH concentration</t>
        </is>
      </c>
      <c r="B275" s="45" t="n">
        <v>20</v>
      </c>
      <c r="C275" s="39" t="inlineStr">
        <is>
          <t>wt %</t>
        </is>
      </c>
      <c r="D275" s="40" t="n"/>
      <c r="E275" s="34" t="n"/>
      <c r="F275" s="38" t="inlineStr">
        <is>
          <t>NaOH solution flowrate</t>
        </is>
      </c>
      <c r="G275" s="44">
        <f>IF(B277=0,0,G274/B277)</f>
        <v/>
      </c>
      <c r="H275" s="39" t="inlineStr">
        <is>
          <t>L soln / [O·time]</t>
        </is>
      </c>
      <c r="I275" s="40" t="n"/>
      <c r="J275" s="34" t="n"/>
      <c r="K275" s="38" t="inlineStr">
        <is>
          <t>Avg REE MW  (feed-weighted)</t>
        </is>
      </c>
      <c r="L275" s="48">
        <f>IF(($M$6+$M$7+$M$8+$M$9)=0,144.24,($M$6*140.91+$M$7*144.24+$M$8*158.93+$M$9*162.5)/($M$6+$M$7+$M$8+$M$9))</f>
        <v/>
      </c>
      <c r="M275" s="39" t="inlineStr">
        <is>
          <t>g/mol</t>
        </is>
      </c>
      <c r="N275" s="40" t="n"/>
    </row>
    <row r="276" ht="16" customHeight="1">
      <c r="A276" s="38" t="inlineStr">
        <is>
          <t>NaOH soln density</t>
        </is>
      </c>
      <c r="B276" s="44">
        <f>1+0.011*B275</f>
        <v/>
      </c>
      <c r="C276" s="39" t="inlineStr">
        <is>
          <t>g/mL</t>
        </is>
      </c>
      <c r="D276" s="40" t="n"/>
      <c r="E276" s="34" t="n"/>
      <c r="F276" s="38" t="inlineStr">
        <is>
          <t>Pure NaOH mass rate</t>
        </is>
      </c>
      <c r="G276" s="44">
        <f>G274*40.0/1000</f>
        <v/>
      </c>
      <c r="H276" s="39" t="inlineStr">
        <is>
          <t>kg NaOH / [O·time]</t>
        </is>
      </c>
      <c r="I276" s="40" t="n"/>
      <c r="J276" s="34" t="n"/>
      <c r="K276" s="46" t="inlineStr">
        <is>
          <t>Max loading — mixed REE</t>
        </is>
      </c>
      <c r="L276" s="49">
        <f>L268*L275</f>
        <v/>
      </c>
      <c r="M276" s="39" t="inlineStr">
        <is>
          <t>g/L org</t>
        </is>
      </c>
      <c r="N276" s="40" t="n"/>
    </row>
    <row r="277" ht="16" customHeight="1">
      <c r="A277" s="38" t="inlineStr">
        <is>
          <t>[NaOH] solution</t>
        </is>
      </c>
      <c r="B277" s="44">
        <f>B275/100*B276*1000/40.0</f>
        <v/>
      </c>
      <c r="C277" s="39" t="inlineStr">
        <is>
          <t>mol/L</t>
        </is>
      </c>
      <c r="D277" s="40" t="n"/>
      <c r="E277" s="34" t="n"/>
      <c r="F277" s="41" t="inlineStr">
        <is>
          <t xml:space="preserve">  Experimental Saponification Degree</t>
        </is>
      </c>
      <c r="J277" s="34" t="n"/>
      <c r="K277" s="38" t="inlineStr">
        <is>
          <t>Current loaded organic  (from SOLVER)</t>
        </is>
      </c>
      <c r="L277" s="50">
        <f>INDEX($AM:$AM,19+$B$6)</f>
        <v/>
      </c>
      <c r="M277" s="39" t="inlineStr">
        <is>
          <t>g/L org</t>
        </is>
      </c>
      <c r="N277" s="40" t="n"/>
    </row>
    <row r="278" ht="16" customHeight="1">
      <c r="A278" s="38" t="inlineStr">
        <is>
          <t>NaOH flowrate</t>
        </is>
      </c>
      <c r="B278" s="13" t="n">
        <v>0</v>
      </c>
      <c r="C278" s="39" t="inlineStr">
        <is>
          <t>same unit as O</t>
        </is>
      </c>
      <c r="D278" s="40" t="n"/>
      <c r="E278" s="34" t="n"/>
      <c r="F278" s="38" t="inlineStr">
        <is>
          <t>mol NaOH supplied  [per time unit]</t>
        </is>
      </c>
      <c r="G278" s="44">
        <f>B278*B277</f>
        <v/>
      </c>
      <c r="H278" s="39" t="inlineStr">
        <is>
          <t>mol / time</t>
        </is>
      </c>
      <c r="I278" s="40" t="n"/>
      <c r="J278" s="34" t="n"/>
      <c r="K278" s="46" t="inlineStr">
        <is>
          <t>Loading utilization</t>
        </is>
      </c>
      <c r="L278" s="49">
        <f>IF(L276=0,0,L277/L276*100)</f>
        <v/>
      </c>
      <c r="M278" s="39" t="inlineStr">
        <is>
          <t>%  of max capacity used</t>
        </is>
      </c>
      <c r="N278" s="40" t="n"/>
    </row>
    <row r="279" ht="16" customHeight="1">
      <c r="E279" s="34" t="n"/>
      <c r="F279" s="38" t="inlineStr">
        <is>
          <t>mol D2EHPA/extr. in organic  [per time unit]</t>
        </is>
      </c>
      <c r="G279" s="44">
        <f>B274*$B$14</f>
        <v/>
      </c>
      <c r="H279" s="39" t="inlineStr">
        <is>
          <t>mol / time</t>
        </is>
      </c>
      <c r="I279" s="40" t="n"/>
      <c r="J279" s="34" t="n"/>
    </row>
    <row r="280" ht="16" customHeight="1">
      <c r="E280" s="34" t="n"/>
      <c r="F280" s="46" t="inlineStr">
        <is>
          <t>SAPONIFICATION DEGREE</t>
        </is>
      </c>
      <c r="G280" s="49">
        <f>IF(G279=0,0,G278/G279*100)</f>
        <v/>
      </c>
      <c r="H280" s="39" t="inlineStr">
        <is>
          <t>% saponified</t>
        </is>
      </c>
      <c r="I280" s="40" t="n"/>
      <c r="J280" s="34" t="n"/>
    </row>
    <row r="281" ht="16" customHeight="1">
      <c r="E281" s="34" t="n"/>
      <c r="J281" s="34" t="n"/>
    </row>
    <row r="282" ht="16" customHeight="1">
      <c r="E282" s="34" t="n"/>
      <c r="J282" s="34" t="n"/>
    </row>
  </sheetData>
  <mergeCells count="29">
    <mergeCell ref="F267:H267"/>
    <mergeCell ref="AI18:AL18"/>
    <mergeCell ref="K267:M267"/>
    <mergeCell ref="A265:D265"/>
    <mergeCell ref="Q2:T2"/>
    <mergeCell ref="K265:N265"/>
    <mergeCell ref="A17:AN17"/>
    <mergeCell ref="S18:Z18"/>
    <mergeCell ref="E2:H2"/>
    <mergeCell ref="K269:M269"/>
    <mergeCell ref="F4:I4"/>
    <mergeCell ref="F273:H273"/>
    <mergeCell ref="A122:I122"/>
    <mergeCell ref="I2:L2"/>
    <mergeCell ref="A18:B18"/>
    <mergeCell ref="F265:I265"/>
    <mergeCell ref="O4:P4"/>
    <mergeCell ref="A264:N264"/>
    <mergeCell ref="K274:M274"/>
    <mergeCell ref="K4:M4"/>
    <mergeCell ref="M2:P2"/>
    <mergeCell ref="A1:AN1"/>
    <mergeCell ref="A4:B4"/>
    <mergeCell ref="AA18:AH18"/>
    <mergeCell ref="F277:H277"/>
    <mergeCell ref="A2:D2"/>
    <mergeCell ref="AM18:AN18"/>
    <mergeCell ref="K18:R18"/>
    <mergeCell ref="C18:J18"/>
  </mergeCells>
  <conditionalFormatting sqref="A20:AN119">
    <cfRule type="expression" priority="1" dxfId="0" stopIfTrue="1">
      <formula>$A20&gt;$B$5+$B$6+$B$7</formula>
    </cfRule>
  </conditionalFormatting>
  <conditionalFormatting sqref="A20:B119">
    <cfRule type="expression" priority="2" dxfId="1" stopIfTrue="1">
      <formula>AND($A20&lt;=$B$5+$B$6+$B$7,$A20&gt;$B$6+$B$7)</formula>
    </cfRule>
    <cfRule type="expression" priority="3" dxfId="2" stopIfTrue="1">
      <formula>AND($A20&lt;=$B$5+$B$6+$B$7,$A20&gt;$B$6)</formula>
    </cfRule>
    <cfRule type="expression" priority="4" dxfId="3" stopIfTrue="1">
      <formula>AND($A20&lt;=$B$5+$B$6+$B$7,$A20&lt;=$B$6)</formula>
    </cfRule>
  </conditionalFormatting>
  <conditionalFormatting sqref="A123:I222">
    <cfRule type="expression" priority="5" dxfId="0" stopIfTrue="1">
      <formula>$A123&gt;$B$5+$B$6+$B$7</formula>
    </cfRule>
  </conditionalFormatting>
  <conditionalFormatting sqref="A123:B222">
    <cfRule type="expression" priority="6" dxfId="1" stopIfTrue="1">
      <formula>AND($A123&lt;=$B$5+$B$6+$B$7,$A123&gt;$B$6+$B$7)</formula>
    </cfRule>
    <cfRule type="expression" priority="7" dxfId="2" stopIfTrue="1">
      <formula>AND($A123&lt;=$B$5+$B$6+$B$7,$A123&gt;$B$6)</formula>
    </cfRule>
    <cfRule type="expression" priority="8" dxfId="3" stopIfTrue="1">
      <formula>AND($A123&lt;=$B$5+$B$6+$B$7,$A123&lt;=$B$6)</formula>
    </cfRule>
  </conditionalFormatting>
  <dataValidations count="2">
    <dataValidation sqref="B267" showDropDown="0" showInputMessage="0" showErrorMessage="0" allowBlank="0" type="list">
      <formula1>"D2EHPA,Cyanex 801"</formula1>
    </dataValidation>
    <dataValidation sqref="B269" showDropDown="0" showInputMessage="0" showErrorMessage="0" allowBlank="0" type="list">
      <formula1>"Orfom,Kerosene"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2026-07-02T01:44:41Z</dcterms:created>
  <dcterms:modified xsi:type="dcterms:W3CDTF">2026-07-02T01:44:42Z</dcterms:modified>
</cp:coreProperties>
</file>