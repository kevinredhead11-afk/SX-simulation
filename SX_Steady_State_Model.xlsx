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OLVER" sheetId="2" state="visible" r:id="rId2"/>
    <sheet name="RESUL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b val="1"/>
      <color rgb="00000000"/>
      <sz val="10"/>
    </font>
    <font>
      <name val="Calibri"/>
      <color rgb="00000000"/>
      <sz val="9"/>
    </font>
    <font>
      <name val="Calibri"/>
      <color rgb="00000000"/>
      <sz val="10"/>
    </font>
    <font>
      <name val="Calibri"/>
      <b val="1"/>
      <color rgb="00000000"/>
      <sz val="11"/>
    </font>
    <font>
      <name val="Calibri"/>
      <color rgb="00555555"/>
      <sz val="11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A"/>
      </patternFill>
    </fill>
    <fill>
      <patternFill patternType="solid">
        <fgColor rgb="004472C4"/>
      </patternFill>
    </fill>
    <fill>
      <patternFill patternType="solid">
        <fgColor rgb="0070AD47"/>
      </patternFill>
    </fill>
    <fill>
      <patternFill patternType="solid">
        <fgColor rgb="00ED7D31"/>
      </patternFill>
    </fill>
    <fill>
      <patternFill patternType="solid">
        <fgColor rgb="00555555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2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left" vertical="center"/>
    </xf>
    <xf numFmtId="2" fontId="3" fillId="11" borderId="1" applyAlignment="1" pivotButton="0" quotePrefix="0" xfId="0">
      <alignment horizontal="center" vertical="center"/>
    </xf>
    <xf numFmtId="0" fontId="10" fillId="11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164" fontId="3" fillId="11" borderId="1" applyAlignment="1" pivotButton="0" quotePrefix="0" xfId="0">
      <alignment horizontal="center" vertical="center"/>
    </xf>
    <xf numFmtId="164" fontId="3" fillId="10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164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164" fontId="3" fillId="1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Absolute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'RESULTS'!G15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'RESULTS'!$G$16:$G$40</f>
            </numRef>
          </val>
        </ser>
        <ser>
          <idx val="1"/>
          <order val="1"/>
          <tx>
            <strRef>
              <f>'RESULTS'!F15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'RESULTS'!$F$16:$F$40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Concentration X, g/L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Aqueous Distributions — % of Total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'RESULTS'!H15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'RESULTS'!$H$16:$H$40</f>
            </numRef>
          </val>
        </ser>
        <ser>
          <idx val="1"/>
          <order val="1"/>
          <tx>
            <strRef>
              <f>'RESULTS'!I15</f>
            </strRef>
          </tx>
          <spPr>
            <a:ln w="20000">
              <a:solidFill>
                <a:srgbClr val="ED7D31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'RESULTS'!$A$16:$A$40</f>
            </numRef>
          </cat>
          <val>
            <numRef>
              <f>'RESULTS'!$I$16:$I$40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Aqueous Distribution, %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41</row>
      <rowOff>0</rowOff>
    </from>
    <ext cx="720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 ht="32" customHeight="1">
      <c r="A1" s="1" t="inlineStr">
        <is>
          <t>SX STEADY-STATE MODEL  —  Alind Formulation  (D2EHPA / HCl)</t>
        </is>
      </c>
    </row>
    <row r="2" ht="8" customHeight="1"/>
    <row r="3" ht="20" customHeight="1">
      <c r="A3" s="2" t="inlineStr">
        <is>
          <t xml:space="preserve">  GENERAL INPUTS</t>
        </is>
      </c>
    </row>
    <row r="4">
      <c r="A4" s="3" t="inlineStr">
        <is>
          <t>Parameter</t>
        </is>
      </c>
      <c r="B4" s="3" t="inlineStr">
        <is>
          <t>Value</t>
        </is>
      </c>
    </row>
    <row r="5">
      <c r="A5" s="4" t="inlineStr">
        <is>
          <t>Extraction Stages  (n_ext)</t>
        </is>
      </c>
      <c r="B5" s="5" t="n">
        <v>10</v>
      </c>
    </row>
    <row r="6">
      <c r="A6" s="6" t="inlineStr">
        <is>
          <t>Scrub Stages  (n_scr)</t>
        </is>
      </c>
      <c r="B6" s="7" t="n">
        <v>10</v>
      </c>
    </row>
    <row r="7">
      <c r="A7" s="4" t="inlineStr">
        <is>
          <t>Strip Stages  (n_str)</t>
        </is>
      </c>
      <c r="B7" s="5" t="n">
        <v>5</v>
      </c>
    </row>
    <row r="8">
      <c r="A8" s="6" t="inlineStr">
        <is>
          <t>HCl Normality — Extraction  [N]</t>
        </is>
      </c>
      <c r="B8" s="7" t="n">
        <v>0.5</v>
      </c>
    </row>
    <row r="9">
      <c r="A9" s="4" t="inlineStr">
        <is>
          <t>HCl Normality — Scrub  [N]</t>
        </is>
      </c>
      <c r="B9" s="5" t="n">
        <v>1.37</v>
      </c>
    </row>
    <row r="10">
      <c r="A10" s="6" t="inlineStr">
        <is>
          <t>HCl Normality — Strip  [N]</t>
        </is>
      </c>
      <c r="B10" s="7" t="n">
        <v>5</v>
      </c>
    </row>
    <row r="11">
      <c r="A11" s="4" t="inlineStr">
        <is>
          <t>Feed Flowrate  (F)  [L/h or gal/min]</t>
        </is>
      </c>
      <c r="B11" s="5" t="n">
        <v>25</v>
      </c>
    </row>
    <row r="12">
      <c r="A12" s="6" t="inlineStr">
        <is>
          <t>Strip Flowrate  (S)</t>
        </is>
      </c>
      <c r="B12" s="7" t="n">
        <v>12</v>
      </c>
    </row>
    <row r="13">
      <c r="A13" s="4" t="inlineStr">
        <is>
          <t>Organic Flow  (O)</t>
        </is>
      </c>
      <c r="B13" s="5" t="n">
        <v>32.5</v>
      </c>
    </row>
    <row r="14">
      <c r="A14" s="6" t="inlineStr">
        <is>
          <t>Reflux  (R)  — decimal  [e.g. 0.70 = 70%]</t>
        </is>
      </c>
      <c r="B14" s="7" t="n">
        <v>0.7</v>
      </c>
    </row>
    <row r="15" ht="8" customHeight="1"/>
    <row r="16" ht="20" customHeight="1">
      <c r="A16" s="2" t="inlineStr">
        <is>
          <t xml:space="preserve">  DISTRIBUTION COEFFICIENTS    D = P × [HCl]ᴺ^Q</t>
        </is>
      </c>
    </row>
    <row r="17">
      <c r="A17" s="3" t="inlineStr">
        <is>
          <t>Element</t>
        </is>
      </c>
      <c r="C17" s="3" t="inlineStr">
        <is>
          <t>P</t>
        </is>
      </c>
      <c r="D17" s="3" t="inlineStr">
        <is>
          <t>Q</t>
        </is>
      </c>
    </row>
    <row r="18">
      <c r="A18" s="8" t="inlineStr">
        <is>
          <t>Pr</t>
        </is>
      </c>
      <c r="C18" s="9" t="n">
        <v>0.0008</v>
      </c>
      <c r="D18" s="10" t="n">
        <v>-1.973</v>
      </c>
    </row>
    <row r="19">
      <c r="A19" s="11" t="inlineStr">
        <is>
          <t>Nd</t>
        </is>
      </c>
      <c r="C19" s="12" t="n">
        <v>0.0031</v>
      </c>
      <c r="D19" s="13" t="n">
        <v>-2.541</v>
      </c>
    </row>
    <row r="20">
      <c r="A20" s="8" t="inlineStr">
        <is>
          <t>Tb</t>
        </is>
      </c>
      <c r="C20" s="9" t="n">
        <v>0.378</v>
      </c>
      <c r="D20" s="10" t="n">
        <v>-2.624</v>
      </c>
    </row>
    <row r="21">
      <c r="A21" s="11" t="inlineStr">
        <is>
          <t>Dy</t>
        </is>
      </c>
      <c r="C21" s="12" t="n">
        <v>0.5959</v>
      </c>
      <c r="D21" s="13" t="n">
        <v>-2.431</v>
      </c>
    </row>
    <row r="22" ht="8" customHeight="1"/>
    <row r="23" ht="20" customHeight="1">
      <c r="A23" s="2" t="inlineStr">
        <is>
          <t xml:space="preserve">  FEED CONCENTRATIONS</t>
        </is>
      </c>
    </row>
    <row r="24">
      <c r="A24" s="3" t="inlineStr">
        <is>
          <t>Element</t>
        </is>
      </c>
      <c r="C24" s="3" t="inlineStr">
        <is>
          <t>Feed Conc. (g/L)</t>
        </is>
      </c>
    </row>
    <row r="25">
      <c r="A25" s="11" t="inlineStr">
        <is>
          <t>Pr</t>
        </is>
      </c>
      <c r="C25" s="5" t="n">
        <v>0</v>
      </c>
    </row>
    <row r="26">
      <c r="A26" s="8" t="inlineStr">
        <is>
          <t>Nd</t>
        </is>
      </c>
      <c r="C26" s="7" t="n">
        <v>20.8</v>
      </c>
    </row>
    <row r="27">
      <c r="A27" s="11" t="inlineStr">
        <is>
          <t>Tb</t>
        </is>
      </c>
      <c r="C27" s="5" t="n">
        <v>0</v>
      </c>
    </row>
    <row r="28">
      <c r="A28" s="8" t="inlineStr">
        <is>
          <t>Dy</t>
        </is>
      </c>
      <c r="C28" s="7" t="n">
        <v>2.68</v>
      </c>
    </row>
    <row r="29" ht="8" customHeight="1"/>
    <row r="30" ht="20" customHeight="1">
      <c r="A30" s="14" t="inlineStr">
        <is>
          <t xml:space="preserve">  COMPUTED REFERENCE VALUES  (auto-calculated)</t>
        </is>
      </c>
    </row>
    <row r="31">
      <c r="A31" s="3" t="inlineStr">
        <is>
          <t>Description</t>
        </is>
      </c>
      <c r="B31" s="3" t="inlineStr">
        <is>
          <t>Value</t>
        </is>
      </c>
    </row>
    <row r="32">
      <c r="A32" s="6" t="inlineStr">
        <is>
          <t>Scrub Flowrate  =  S × R</t>
        </is>
      </c>
      <c r="B32" s="7">
        <f>INPUTS!$B$12*INPUTS!$B$14</f>
        <v/>
      </c>
    </row>
    <row r="33">
      <c r="A33" s="4" t="inlineStr">
        <is>
          <t>Preg Flowrate   =  S × (1 − R)</t>
        </is>
      </c>
      <c r="B33" s="5">
        <f>INPUTS!$B$12*(1-INPUTS!$B$14)</f>
        <v/>
      </c>
    </row>
    <row r="34">
      <c r="A34" s="6" t="inlineStr">
        <is>
          <t>Raffinate Flowrate  =  S×R + F</t>
        </is>
      </c>
      <c r="B34" s="7">
        <f>INPUTS!$B$12*INPUTS!$B$14+INPUTS!$B$11</f>
        <v/>
      </c>
    </row>
    <row r="35">
      <c r="A35" s="4" t="inlineStr">
        <is>
          <t>Total Stages  =  n_ext+n_scr+n_str</t>
        </is>
      </c>
      <c r="B35" s="5">
        <f>INPUTS!$B$5+INPUTS!$B$6+INPUTS!$B$7</f>
        <v/>
      </c>
    </row>
  </sheetData>
  <mergeCells count="5">
    <mergeCell ref="A30:E30"/>
    <mergeCell ref="A16:E16"/>
    <mergeCell ref="A1:E1"/>
    <mergeCell ref="A23:E23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AN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2" customWidth="1" min="39" max="39"/>
    <col width="12" customWidth="1" min="40" max="40"/>
  </cols>
  <sheetData>
    <row r="1" ht="28" customHeight="1">
      <c r="A1" s="15" t="inlineStr">
        <is>
          <t>SOLVER  —  TDMA (Thomas Algorithm)  |  Each column-block is one REE element</t>
        </is>
      </c>
    </row>
    <row r="2" ht="20" customHeight="1">
      <c r="A2" s="16" t="inlineStr"/>
      <c r="C2" s="17" t="inlineStr">
        <is>
          <t>← Pr  (8 columns) →</t>
        </is>
      </c>
      <c r="K2" s="18" t="inlineStr">
        <is>
          <t>← Nd  (8 columns) →</t>
        </is>
      </c>
      <c r="S2" s="19" t="inlineStr">
        <is>
          <t>← Tb  (8 columns) →</t>
        </is>
      </c>
      <c r="AA2" s="20" t="inlineStr">
        <is>
          <t>← Dy  (8 columns) →</t>
        </is>
      </c>
      <c r="AI2" s="21" t="inlineStr">
        <is>
          <t>← Aqueous  x_i  (g/L) →</t>
        </is>
      </c>
      <c r="AM2" s="21" t="inlineStr">
        <is>
          <t>Totals</t>
        </is>
      </c>
    </row>
    <row r="3" ht="16" customHeight="1">
      <c r="C3" s="22" t="inlineStr">
        <is>
          <t>D_i</t>
        </is>
      </c>
      <c r="D3" s="22" t="inlineStr">
        <is>
          <t>a</t>
        </is>
      </c>
      <c r="E3" s="22" t="inlineStr">
        <is>
          <t>b</t>
        </is>
      </c>
      <c r="F3" s="22" t="inlineStr">
        <is>
          <t>c</t>
        </is>
      </c>
      <c r="G3" s="22" t="inlineStr">
        <is>
          <t>d(RHS)</t>
        </is>
      </c>
      <c r="H3" s="22" t="inlineStr">
        <is>
          <t>c′</t>
        </is>
      </c>
      <c r="I3" s="22" t="inlineStr">
        <is>
          <t>d′</t>
        </is>
      </c>
      <c r="J3" s="22" t="inlineStr">
        <is>
          <t>y_org</t>
        </is>
      </c>
      <c r="K3" s="22" t="inlineStr">
        <is>
          <t>D_i</t>
        </is>
      </c>
      <c r="L3" s="22" t="inlineStr">
        <is>
          <t>a</t>
        </is>
      </c>
      <c r="M3" s="22" t="inlineStr">
        <is>
          <t>b</t>
        </is>
      </c>
      <c r="N3" s="22" t="inlineStr">
        <is>
          <t>c</t>
        </is>
      </c>
      <c r="O3" s="22" t="inlineStr">
        <is>
          <t>d(RHS)</t>
        </is>
      </c>
      <c r="P3" s="22" t="inlineStr">
        <is>
          <t>c′</t>
        </is>
      </c>
      <c r="Q3" s="22" t="inlineStr">
        <is>
          <t>d′</t>
        </is>
      </c>
      <c r="R3" s="22" t="inlineStr">
        <is>
          <t>y_org</t>
        </is>
      </c>
      <c r="S3" s="22" t="inlineStr">
        <is>
          <t>D_i</t>
        </is>
      </c>
      <c r="T3" s="22" t="inlineStr">
        <is>
          <t>a</t>
        </is>
      </c>
      <c r="U3" s="22" t="inlineStr">
        <is>
          <t>b</t>
        </is>
      </c>
      <c r="V3" s="22" t="inlineStr">
        <is>
          <t>c</t>
        </is>
      </c>
      <c r="W3" s="22" t="inlineStr">
        <is>
          <t>d(RHS)</t>
        </is>
      </c>
      <c r="X3" s="22" t="inlineStr">
        <is>
          <t>c′</t>
        </is>
      </c>
      <c r="Y3" s="22" t="inlineStr">
        <is>
          <t>d′</t>
        </is>
      </c>
      <c r="Z3" s="22" t="inlineStr">
        <is>
          <t>y_org</t>
        </is>
      </c>
      <c r="AA3" s="22" t="inlineStr">
        <is>
          <t>D_i</t>
        </is>
      </c>
      <c r="AB3" s="22" t="inlineStr">
        <is>
          <t>a</t>
        </is>
      </c>
      <c r="AC3" s="22" t="inlineStr">
        <is>
          <t>b</t>
        </is>
      </c>
      <c r="AD3" s="22" t="inlineStr">
        <is>
          <t>c</t>
        </is>
      </c>
      <c r="AE3" s="22" t="inlineStr">
        <is>
          <t>d(RHS)</t>
        </is>
      </c>
      <c r="AF3" s="22" t="inlineStr">
        <is>
          <t>c′</t>
        </is>
      </c>
      <c r="AG3" s="22" t="inlineStr">
        <is>
          <t>d′</t>
        </is>
      </c>
      <c r="AH3" s="22" t="inlineStr">
        <is>
          <t>y_org</t>
        </is>
      </c>
      <c r="AI3" s="22" t="inlineStr">
        <is>
          <t>x_Pr</t>
        </is>
      </c>
      <c r="AJ3" s="22" t="inlineStr">
        <is>
          <t>x_Nd</t>
        </is>
      </c>
      <c r="AK3" s="22" t="inlineStr">
        <is>
          <t>x_Tb</t>
        </is>
      </c>
      <c r="AL3" s="22" t="inlineStr">
        <is>
          <t>x_Dy</t>
        </is>
      </c>
      <c r="AM3" s="22" t="inlineStr">
        <is>
          <t>Σ y_org</t>
        </is>
      </c>
      <c r="AN3" s="22" t="inlineStr">
        <is>
          <t>Σ x_aq</t>
        </is>
      </c>
    </row>
    <row r="4" ht="30" customHeight="1">
      <c r="A4" s="23" t="inlineStr">
        <is>
          <t>Stage</t>
        </is>
      </c>
      <c r="B4" s="23" t="inlineStr">
        <is>
          <t>Section</t>
        </is>
      </c>
      <c r="C4" s="24" t="inlineStr">
        <is>
          <t>D = P·[HCl]^Q</t>
        </is>
      </c>
      <c r="D4" s="24" t="inlineStr">
        <is>
          <t>a (lower diag)</t>
        </is>
      </c>
      <c r="E4" s="24" t="inlineStr">
        <is>
          <t>b (main diag)</t>
        </is>
      </c>
      <c r="F4" s="24" t="inlineStr">
        <is>
          <t>c (upper diag)</t>
        </is>
      </c>
      <c r="G4" s="24" t="inlineStr">
        <is>
          <t>d (RHS)</t>
        </is>
      </c>
      <c r="H4" s="24" t="inlineStr">
        <is>
          <t>c′ (fwd sweep)</t>
        </is>
      </c>
      <c r="I4" s="24" t="inlineStr">
        <is>
          <t>d′ (fwd sweep)</t>
        </is>
      </c>
      <c r="J4" s="24" t="inlineStr">
        <is>
          <t>y = org conc (g/L)</t>
        </is>
      </c>
      <c r="K4" s="25" t="inlineStr">
        <is>
          <t>D = P·[HCl]^Q</t>
        </is>
      </c>
      <c r="L4" s="25" t="inlineStr">
        <is>
          <t>a (lower diag)</t>
        </is>
      </c>
      <c r="M4" s="25" t="inlineStr">
        <is>
          <t>b (main diag)</t>
        </is>
      </c>
      <c r="N4" s="25" t="inlineStr">
        <is>
          <t>c (upper diag)</t>
        </is>
      </c>
      <c r="O4" s="25" t="inlineStr">
        <is>
          <t>d (RHS)</t>
        </is>
      </c>
      <c r="P4" s="25" t="inlineStr">
        <is>
          <t>c′ (fwd sweep)</t>
        </is>
      </c>
      <c r="Q4" s="25" t="inlineStr">
        <is>
          <t>d′ (fwd sweep)</t>
        </is>
      </c>
      <c r="R4" s="25" t="inlineStr">
        <is>
          <t>y = org conc (g/L)</t>
        </is>
      </c>
      <c r="S4" s="26" t="inlineStr">
        <is>
          <t>D = P·[HCl]^Q</t>
        </is>
      </c>
      <c r="T4" s="26" t="inlineStr">
        <is>
          <t>a (lower diag)</t>
        </is>
      </c>
      <c r="U4" s="26" t="inlineStr">
        <is>
          <t>b (main diag)</t>
        </is>
      </c>
      <c r="V4" s="26" t="inlineStr">
        <is>
          <t>c (upper diag)</t>
        </is>
      </c>
      <c r="W4" s="26" t="inlineStr">
        <is>
          <t>d (RHS)</t>
        </is>
      </c>
      <c r="X4" s="26" t="inlineStr">
        <is>
          <t>c′ (fwd sweep)</t>
        </is>
      </c>
      <c r="Y4" s="26" t="inlineStr">
        <is>
          <t>d′ (fwd sweep)</t>
        </is>
      </c>
      <c r="Z4" s="26" t="inlineStr">
        <is>
          <t>y = org conc (g/L)</t>
        </is>
      </c>
      <c r="AA4" s="27" t="inlineStr">
        <is>
          <t>D = P·[HCl]^Q</t>
        </is>
      </c>
      <c r="AB4" s="27" t="inlineStr">
        <is>
          <t>a (lower diag)</t>
        </is>
      </c>
      <c r="AC4" s="27" t="inlineStr">
        <is>
          <t>b (main diag)</t>
        </is>
      </c>
      <c r="AD4" s="27" t="inlineStr">
        <is>
          <t>c (upper diag)</t>
        </is>
      </c>
      <c r="AE4" s="27" t="inlineStr">
        <is>
          <t>d (RHS)</t>
        </is>
      </c>
      <c r="AF4" s="27" t="inlineStr">
        <is>
          <t>c′ (fwd sweep)</t>
        </is>
      </c>
      <c r="AG4" s="27" t="inlineStr">
        <is>
          <t>d′ (fwd sweep)</t>
        </is>
      </c>
      <c r="AH4" s="27" t="inlineStr">
        <is>
          <t>y = org conc (g/L)</t>
        </is>
      </c>
      <c r="AI4" s="28" t="inlineStr">
        <is>
          <t>x_Pr = y/D_Pr</t>
        </is>
      </c>
      <c r="AJ4" s="28" t="inlineStr">
        <is>
          <t>x_Nd = y/D_Nd</t>
        </is>
      </c>
      <c r="AK4" s="28" t="inlineStr">
        <is>
          <t>x_Tb = y/D_Tb</t>
        </is>
      </c>
      <c r="AL4" s="28" t="inlineStr">
        <is>
          <t>x_Dy = y/D_Dy</t>
        </is>
      </c>
      <c r="AM4" s="28" t="inlineStr">
        <is>
          <t>Total Organic (g/L)</t>
        </is>
      </c>
      <c r="AN4" s="28" t="inlineStr">
        <is>
          <t>Total Aqueous (g/L)</t>
        </is>
      </c>
    </row>
    <row r="5">
      <c r="A5" s="29" t="n">
        <v>1</v>
      </c>
      <c r="B5" s="30">
        <f>IF(A5&lt;=INPUTS!$B$5,"Extraction",IF(A5&lt;=INPUTS!$B$5+INPUTS!$B$6,"Scrub","Strip"))</f>
        <v/>
      </c>
      <c r="C5" s="31">
        <f>IF(A5&lt;=INPUTS!$B$5,INPUTS!$C$18*INPUTS!$B$8^INPUTS!$D$18,IF(A5&lt;=INPUTS!$B$5+INPUTS!$B$6,INPUTS!$C$18*INPUTS!$B$9^INPUTS!$D$18,INPUTS!$C$18*INPUTS!$B$10^INPUTS!$D$18))</f>
        <v/>
      </c>
      <c r="D5" s="31">
        <f>IF(A5=1,0,INPUTS!$B$13)</f>
        <v/>
      </c>
      <c r="E5" s="31">
        <f>IF(A5&gt;INPUTS!$B$5+INPUTS!$B$6,-INPUTS!$B$13-INPUTS!$B$12/C5,IF(A5&gt;INPUTS!$B$5,-INPUTS!$B$13-INPUTS!$B$12*INPUTS!$B$14/C5,-INPUTS!$B$13-(INPUTS!$B$12*INPUTS!$B$14+INPUTS!$B$11)/C5))</f>
        <v/>
      </c>
      <c r="F5" s="31">
        <f>IF(A5&gt;INPUTS!$B$5+INPUTS!$B$6,INPUTS!$B$12/C6,IF(A5&gt;=INPUTS!$B$5,INPUTS!$B$12*INPUTS!$B$14/C6,(INPUTS!$B$12*INPUTS!$B$14+INPUTS!$B$11)/C6))</f>
        <v/>
      </c>
      <c r="G5" s="31">
        <f>IF(A5=INPUTS!$B$5,-INPUTS!$C$25*INPUTS!$B$11,0)</f>
        <v/>
      </c>
      <c r="H5" s="31">
        <f>F5/E5</f>
        <v/>
      </c>
      <c r="I5" s="31">
        <f>G5/E5</f>
        <v/>
      </c>
      <c r="J5" s="31">
        <f>I5-H5*J6</f>
        <v/>
      </c>
      <c r="K5" s="31">
        <f>IF(A5&lt;=INPUTS!$B$5,INPUTS!$C$19*INPUTS!$B$8^INPUTS!$D$19,IF(A5&lt;=INPUTS!$B$5+INPUTS!$B$6,INPUTS!$C$19*INPUTS!$B$9^INPUTS!$D$19,INPUTS!$C$19*INPUTS!$B$10^INPUTS!$D$19))</f>
        <v/>
      </c>
      <c r="L5" s="31">
        <f>IF(A5=1,0,INPUTS!$B$13)</f>
        <v/>
      </c>
      <c r="M5" s="31">
        <f>IF(A5&gt;INPUTS!$B$5+INPUTS!$B$6,-INPUTS!$B$13-INPUTS!$B$12/K5,IF(A5&gt;INPUTS!$B$5,-INPUTS!$B$13-INPUTS!$B$12*INPUTS!$B$14/K5,-INPUTS!$B$13-(INPUTS!$B$12*INPUTS!$B$14+INPUTS!$B$11)/K5))</f>
        <v/>
      </c>
      <c r="N5" s="31">
        <f>IF(A5&gt;INPUTS!$B$5+INPUTS!$B$6,INPUTS!$B$12/K6,IF(A5&gt;=INPUTS!$B$5,INPUTS!$B$12*INPUTS!$B$14/K6,(INPUTS!$B$12*INPUTS!$B$14+INPUTS!$B$11)/K6))</f>
        <v/>
      </c>
      <c r="O5" s="31">
        <f>IF(A5=INPUTS!$B$5,-INPUTS!$C$26*INPUTS!$B$11,0)</f>
        <v/>
      </c>
      <c r="P5" s="31">
        <f>N5/M5</f>
        <v/>
      </c>
      <c r="Q5" s="31">
        <f>O5/M5</f>
        <v/>
      </c>
      <c r="R5" s="31">
        <f>Q5-P5*R6</f>
        <v/>
      </c>
      <c r="S5" s="31">
        <f>IF(A5&lt;=INPUTS!$B$5,INPUTS!$C$20*INPUTS!$B$8^INPUTS!$D$20,IF(A5&lt;=INPUTS!$B$5+INPUTS!$B$6,INPUTS!$C$20*INPUTS!$B$9^INPUTS!$D$20,INPUTS!$C$20*INPUTS!$B$10^INPUTS!$D$20))</f>
        <v/>
      </c>
      <c r="T5" s="31">
        <f>IF(A5=1,0,INPUTS!$B$13)</f>
        <v/>
      </c>
      <c r="U5" s="31">
        <f>IF(A5&gt;INPUTS!$B$5+INPUTS!$B$6,-INPUTS!$B$13-INPUTS!$B$12/S5,IF(A5&gt;INPUTS!$B$5,-INPUTS!$B$13-INPUTS!$B$12*INPUTS!$B$14/S5,-INPUTS!$B$13-(INPUTS!$B$12*INPUTS!$B$14+INPUTS!$B$11)/S5))</f>
        <v/>
      </c>
      <c r="V5" s="31">
        <f>IF(A5&gt;INPUTS!$B$5+INPUTS!$B$6,INPUTS!$B$12/S6,IF(A5&gt;=INPUTS!$B$5,INPUTS!$B$12*INPUTS!$B$14/S6,(INPUTS!$B$12*INPUTS!$B$14+INPUTS!$B$11)/S6))</f>
        <v/>
      </c>
      <c r="W5" s="31">
        <f>IF(A5=INPUTS!$B$5,-INPUTS!$C$27*INPUTS!$B$11,0)</f>
        <v/>
      </c>
      <c r="X5" s="31">
        <f>V5/U5</f>
        <v/>
      </c>
      <c r="Y5" s="31">
        <f>W5/U5</f>
        <v/>
      </c>
      <c r="Z5" s="31">
        <f>Y5-X5*Z6</f>
        <v/>
      </c>
      <c r="AA5" s="31">
        <f>IF(A5&lt;=INPUTS!$B$5,INPUTS!$C$21*INPUTS!$B$8^INPUTS!$D$21,IF(A5&lt;=INPUTS!$B$5+INPUTS!$B$6,INPUTS!$C$21*INPUTS!$B$9^INPUTS!$D$21,INPUTS!$C$21*INPUTS!$B$10^INPUTS!$D$21))</f>
        <v/>
      </c>
      <c r="AB5" s="31">
        <f>IF(A5=1,0,INPUTS!$B$13)</f>
        <v/>
      </c>
      <c r="AC5" s="31">
        <f>IF(A5&gt;INPUTS!$B$5+INPUTS!$B$6,-INPUTS!$B$13-INPUTS!$B$12/AA5,IF(A5&gt;INPUTS!$B$5,-INPUTS!$B$13-INPUTS!$B$12*INPUTS!$B$14/AA5,-INPUTS!$B$13-(INPUTS!$B$12*INPUTS!$B$14+INPUTS!$B$11)/AA5))</f>
        <v/>
      </c>
      <c r="AD5" s="31">
        <f>IF(A5&gt;INPUTS!$B$5+INPUTS!$B$6,INPUTS!$B$12/AA6,IF(A5&gt;=INPUTS!$B$5,INPUTS!$B$12*INPUTS!$B$14/AA6,(INPUTS!$B$12*INPUTS!$B$14+INPUTS!$B$11)/AA6))</f>
        <v/>
      </c>
      <c r="AE5" s="31">
        <f>IF(A5=INPUTS!$B$5,-INPUTS!$C$28*INPUTS!$B$11,0)</f>
        <v/>
      </c>
      <c r="AF5" s="31">
        <f>AD5/AC5</f>
        <v/>
      </c>
      <c r="AG5" s="31">
        <f>AE5/AC5</f>
        <v/>
      </c>
      <c r="AH5" s="31">
        <f>AG5-AF5*AH6</f>
        <v/>
      </c>
      <c r="AI5" s="32">
        <f>IF(C5&lt;&gt;0,J5/C5,0)</f>
        <v/>
      </c>
      <c r="AJ5" s="32">
        <f>IF(K5&lt;&gt;0,R5/K5,0)</f>
        <v/>
      </c>
      <c r="AK5" s="32">
        <f>IF(S5&lt;&gt;0,Z5/S5,0)</f>
        <v/>
      </c>
      <c r="AL5" s="32">
        <f>IF(AA5&lt;&gt;0,AH5/AA5,0)</f>
        <v/>
      </c>
      <c r="AM5" s="33">
        <f>J5+R5+Z5+AH5</f>
        <v/>
      </c>
      <c r="AN5" s="33">
        <f>AI5+AJ5+AK5+AL5</f>
        <v/>
      </c>
    </row>
    <row r="6">
      <c r="A6" s="29" t="n">
        <v>2</v>
      </c>
      <c r="B6" s="30">
        <f>IF(A6&lt;=INPUTS!$B$5,"Extraction",IF(A6&lt;=INPUTS!$B$5+INPUTS!$B$6,"Scrub","Strip"))</f>
        <v/>
      </c>
      <c r="C6" s="34">
        <f>IF(A6&lt;=INPUTS!$B$5,INPUTS!$C$18*INPUTS!$B$8^INPUTS!$D$18,IF(A6&lt;=INPUTS!$B$5+INPUTS!$B$6,INPUTS!$C$18*INPUTS!$B$9^INPUTS!$D$18,INPUTS!$C$18*INPUTS!$B$10^INPUTS!$D$18))</f>
        <v/>
      </c>
      <c r="D6" s="34">
        <f>IF(A6=1,0,INPUTS!$B$13)</f>
        <v/>
      </c>
      <c r="E6" s="34">
        <f>IF(A6&gt;INPUTS!$B$5+INPUTS!$B$6,-INPUTS!$B$13-INPUTS!$B$12/C6,IF(A6&gt;INPUTS!$B$5,-INPUTS!$B$13-INPUTS!$B$12*INPUTS!$B$14/C6,-INPUTS!$B$13-(INPUTS!$B$12*INPUTS!$B$14+INPUTS!$B$11)/C6))</f>
        <v/>
      </c>
      <c r="F6" s="34">
        <f>IF(A6&gt;INPUTS!$B$5+INPUTS!$B$6,INPUTS!$B$12/C7,IF(A6&gt;=INPUTS!$B$5,INPUTS!$B$12*INPUTS!$B$14/C7,(INPUTS!$B$12*INPUTS!$B$14+INPUTS!$B$11)/C7))</f>
        <v/>
      </c>
      <c r="G6" s="34">
        <f>IF(A6=INPUTS!$B$5,-INPUTS!$C$25*INPUTS!$B$11,0)</f>
        <v/>
      </c>
      <c r="H6" s="34">
        <f>F6/(E6-D6*H5)</f>
        <v/>
      </c>
      <c r="I6" s="34">
        <f>(G6-D6*I5)/(E6-D6*H5)</f>
        <v/>
      </c>
      <c r="J6" s="34">
        <f>I6-H6*J7</f>
        <v/>
      </c>
      <c r="K6" s="34">
        <f>IF(A6&lt;=INPUTS!$B$5,INPUTS!$C$19*INPUTS!$B$8^INPUTS!$D$19,IF(A6&lt;=INPUTS!$B$5+INPUTS!$B$6,INPUTS!$C$19*INPUTS!$B$9^INPUTS!$D$19,INPUTS!$C$19*INPUTS!$B$10^INPUTS!$D$19))</f>
        <v/>
      </c>
      <c r="L6" s="34">
        <f>IF(A6=1,0,INPUTS!$B$13)</f>
        <v/>
      </c>
      <c r="M6" s="34">
        <f>IF(A6&gt;INPUTS!$B$5+INPUTS!$B$6,-INPUTS!$B$13-INPUTS!$B$12/K6,IF(A6&gt;INPUTS!$B$5,-INPUTS!$B$13-INPUTS!$B$12*INPUTS!$B$14/K6,-INPUTS!$B$13-(INPUTS!$B$12*INPUTS!$B$14+INPUTS!$B$11)/K6))</f>
        <v/>
      </c>
      <c r="N6" s="34">
        <f>IF(A6&gt;INPUTS!$B$5+INPUTS!$B$6,INPUTS!$B$12/K7,IF(A6&gt;=INPUTS!$B$5,INPUTS!$B$12*INPUTS!$B$14/K7,(INPUTS!$B$12*INPUTS!$B$14+INPUTS!$B$11)/K7))</f>
        <v/>
      </c>
      <c r="O6" s="34">
        <f>IF(A6=INPUTS!$B$5,-INPUTS!$C$26*INPUTS!$B$11,0)</f>
        <v/>
      </c>
      <c r="P6" s="34">
        <f>N6/(M6-L6*P5)</f>
        <v/>
      </c>
      <c r="Q6" s="34">
        <f>(O6-L6*Q5)/(M6-L6*P5)</f>
        <v/>
      </c>
      <c r="R6" s="34">
        <f>Q6-P6*R7</f>
        <v/>
      </c>
      <c r="S6" s="34">
        <f>IF(A6&lt;=INPUTS!$B$5,INPUTS!$C$20*INPUTS!$B$8^INPUTS!$D$20,IF(A6&lt;=INPUTS!$B$5+INPUTS!$B$6,INPUTS!$C$20*INPUTS!$B$9^INPUTS!$D$20,INPUTS!$C$20*INPUTS!$B$10^INPUTS!$D$20))</f>
        <v/>
      </c>
      <c r="T6" s="34">
        <f>IF(A6=1,0,INPUTS!$B$13)</f>
        <v/>
      </c>
      <c r="U6" s="34">
        <f>IF(A6&gt;INPUTS!$B$5+INPUTS!$B$6,-INPUTS!$B$13-INPUTS!$B$12/S6,IF(A6&gt;INPUTS!$B$5,-INPUTS!$B$13-INPUTS!$B$12*INPUTS!$B$14/S6,-INPUTS!$B$13-(INPUTS!$B$12*INPUTS!$B$14+INPUTS!$B$11)/S6))</f>
        <v/>
      </c>
      <c r="V6" s="34">
        <f>IF(A6&gt;INPUTS!$B$5+INPUTS!$B$6,INPUTS!$B$12/S7,IF(A6&gt;=INPUTS!$B$5,INPUTS!$B$12*INPUTS!$B$14/S7,(INPUTS!$B$12*INPUTS!$B$14+INPUTS!$B$11)/S7))</f>
        <v/>
      </c>
      <c r="W6" s="34">
        <f>IF(A6=INPUTS!$B$5,-INPUTS!$C$27*INPUTS!$B$11,0)</f>
        <v/>
      </c>
      <c r="X6" s="34">
        <f>V6/(U6-T6*X5)</f>
        <v/>
      </c>
      <c r="Y6" s="34">
        <f>(W6-T6*Y5)/(U6-T6*X5)</f>
        <v/>
      </c>
      <c r="Z6" s="34">
        <f>Y6-X6*Z7</f>
        <v/>
      </c>
      <c r="AA6" s="34">
        <f>IF(A6&lt;=INPUTS!$B$5,INPUTS!$C$21*INPUTS!$B$8^INPUTS!$D$21,IF(A6&lt;=INPUTS!$B$5+INPUTS!$B$6,INPUTS!$C$21*INPUTS!$B$9^INPUTS!$D$21,INPUTS!$C$21*INPUTS!$B$10^INPUTS!$D$21))</f>
        <v/>
      </c>
      <c r="AB6" s="34">
        <f>IF(A6=1,0,INPUTS!$B$13)</f>
        <v/>
      </c>
      <c r="AC6" s="34">
        <f>IF(A6&gt;INPUTS!$B$5+INPUTS!$B$6,-INPUTS!$B$13-INPUTS!$B$12/AA6,IF(A6&gt;INPUTS!$B$5,-INPUTS!$B$13-INPUTS!$B$12*INPUTS!$B$14/AA6,-INPUTS!$B$13-(INPUTS!$B$12*INPUTS!$B$14+INPUTS!$B$11)/AA6))</f>
        <v/>
      </c>
      <c r="AD6" s="34">
        <f>IF(A6&gt;INPUTS!$B$5+INPUTS!$B$6,INPUTS!$B$12/AA7,IF(A6&gt;=INPUTS!$B$5,INPUTS!$B$12*INPUTS!$B$14/AA7,(INPUTS!$B$12*INPUTS!$B$14+INPUTS!$B$11)/AA7))</f>
        <v/>
      </c>
      <c r="AE6" s="34">
        <f>IF(A6=INPUTS!$B$5,-INPUTS!$C$28*INPUTS!$B$11,0)</f>
        <v/>
      </c>
      <c r="AF6" s="34">
        <f>AD6/(AC6-AB6*AF5)</f>
        <v/>
      </c>
      <c r="AG6" s="34">
        <f>(AE6-AB6*AG5)/(AC6-AB6*AF5)</f>
        <v/>
      </c>
      <c r="AH6" s="34">
        <f>AG6-AF6*AH7</f>
        <v/>
      </c>
      <c r="AI6" s="32">
        <f>IF(C6&lt;&gt;0,J6/C6,0)</f>
        <v/>
      </c>
      <c r="AJ6" s="32">
        <f>IF(K6&lt;&gt;0,R6/K6,0)</f>
        <v/>
      </c>
      <c r="AK6" s="32">
        <f>IF(S6&lt;&gt;0,Z6/S6,0)</f>
        <v/>
      </c>
      <c r="AL6" s="32">
        <f>IF(AA6&lt;&gt;0,AH6/AA6,0)</f>
        <v/>
      </c>
      <c r="AM6" s="33">
        <f>J6+R6+Z6+AH6</f>
        <v/>
      </c>
      <c r="AN6" s="33">
        <f>AI6+AJ6+AK6+AL6</f>
        <v/>
      </c>
    </row>
    <row r="7">
      <c r="A7" s="29" t="n">
        <v>3</v>
      </c>
      <c r="B7" s="30">
        <f>IF(A7&lt;=INPUTS!$B$5,"Extraction",IF(A7&lt;=INPUTS!$B$5+INPUTS!$B$6,"Scrub","Strip"))</f>
        <v/>
      </c>
      <c r="C7" s="31">
        <f>IF(A7&lt;=INPUTS!$B$5,INPUTS!$C$18*INPUTS!$B$8^INPUTS!$D$18,IF(A7&lt;=INPUTS!$B$5+INPUTS!$B$6,INPUTS!$C$18*INPUTS!$B$9^INPUTS!$D$18,INPUTS!$C$18*INPUTS!$B$10^INPUTS!$D$18))</f>
        <v/>
      </c>
      <c r="D7" s="31">
        <f>IF(A7=1,0,INPUTS!$B$13)</f>
        <v/>
      </c>
      <c r="E7" s="31">
        <f>IF(A7&gt;INPUTS!$B$5+INPUTS!$B$6,-INPUTS!$B$13-INPUTS!$B$12/C7,IF(A7&gt;INPUTS!$B$5,-INPUTS!$B$13-INPUTS!$B$12*INPUTS!$B$14/C7,-INPUTS!$B$13-(INPUTS!$B$12*INPUTS!$B$14+INPUTS!$B$11)/C7))</f>
        <v/>
      </c>
      <c r="F7" s="31">
        <f>IF(A7&gt;INPUTS!$B$5+INPUTS!$B$6,INPUTS!$B$12/C8,IF(A7&gt;=INPUTS!$B$5,INPUTS!$B$12*INPUTS!$B$14/C8,(INPUTS!$B$12*INPUTS!$B$14+INPUTS!$B$11)/C8))</f>
        <v/>
      </c>
      <c r="G7" s="31">
        <f>IF(A7=INPUTS!$B$5,-INPUTS!$C$25*INPUTS!$B$11,0)</f>
        <v/>
      </c>
      <c r="H7" s="31">
        <f>F7/(E7-D7*H6)</f>
        <v/>
      </c>
      <c r="I7" s="31">
        <f>(G7-D7*I6)/(E7-D7*H6)</f>
        <v/>
      </c>
      <c r="J7" s="31">
        <f>I7-H7*J8</f>
        <v/>
      </c>
      <c r="K7" s="31">
        <f>IF(A7&lt;=INPUTS!$B$5,INPUTS!$C$19*INPUTS!$B$8^INPUTS!$D$19,IF(A7&lt;=INPUTS!$B$5+INPUTS!$B$6,INPUTS!$C$19*INPUTS!$B$9^INPUTS!$D$19,INPUTS!$C$19*INPUTS!$B$10^INPUTS!$D$19))</f>
        <v/>
      </c>
      <c r="L7" s="31">
        <f>IF(A7=1,0,INPUTS!$B$13)</f>
        <v/>
      </c>
      <c r="M7" s="31">
        <f>IF(A7&gt;INPUTS!$B$5+INPUTS!$B$6,-INPUTS!$B$13-INPUTS!$B$12/K7,IF(A7&gt;INPUTS!$B$5,-INPUTS!$B$13-INPUTS!$B$12*INPUTS!$B$14/K7,-INPUTS!$B$13-(INPUTS!$B$12*INPUTS!$B$14+INPUTS!$B$11)/K7))</f>
        <v/>
      </c>
      <c r="N7" s="31">
        <f>IF(A7&gt;INPUTS!$B$5+INPUTS!$B$6,INPUTS!$B$12/K8,IF(A7&gt;=INPUTS!$B$5,INPUTS!$B$12*INPUTS!$B$14/K8,(INPUTS!$B$12*INPUTS!$B$14+INPUTS!$B$11)/K8))</f>
        <v/>
      </c>
      <c r="O7" s="31">
        <f>IF(A7=INPUTS!$B$5,-INPUTS!$C$26*INPUTS!$B$11,0)</f>
        <v/>
      </c>
      <c r="P7" s="31">
        <f>N7/(M7-L7*P6)</f>
        <v/>
      </c>
      <c r="Q7" s="31">
        <f>(O7-L7*Q6)/(M7-L7*P6)</f>
        <v/>
      </c>
      <c r="R7" s="31">
        <f>Q7-P7*R8</f>
        <v/>
      </c>
      <c r="S7" s="31">
        <f>IF(A7&lt;=INPUTS!$B$5,INPUTS!$C$20*INPUTS!$B$8^INPUTS!$D$20,IF(A7&lt;=INPUTS!$B$5+INPUTS!$B$6,INPUTS!$C$20*INPUTS!$B$9^INPUTS!$D$20,INPUTS!$C$20*INPUTS!$B$10^INPUTS!$D$20))</f>
        <v/>
      </c>
      <c r="T7" s="31">
        <f>IF(A7=1,0,INPUTS!$B$13)</f>
        <v/>
      </c>
      <c r="U7" s="31">
        <f>IF(A7&gt;INPUTS!$B$5+INPUTS!$B$6,-INPUTS!$B$13-INPUTS!$B$12/S7,IF(A7&gt;INPUTS!$B$5,-INPUTS!$B$13-INPUTS!$B$12*INPUTS!$B$14/S7,-INPUTS!$B$13-(INPUTS!$B$12*INPUTS!$B$14+INPUTS!$B$11)/S7))</f>
        <v/>
      </c>
      <c r="V7" s="31">
        <f>IF(A7&gt;INPUTS!$B$5+INPUTS!$B$6,INPUTS!$B$12/S8,IF(A7&gt;=INPUTS!$B$5,INPUTS!$B$12*INPUTS!$B$14/S8,(INPUTS!$B$12*INPUTS!$B$14+INPUTS!$B$11)/S8))</f>
        <v/>
      </c>
      <c r="W7" s="31">
        <f>IF(A7=INPUTS!$B$5,-INPUTS!$C$27*INPUTS!$B$11,0)</f>
        <v/>
      </c>
      <c r="X7" s="31">
        <f>V7/(U7-T7*X6)</f>
        <v/>
      </c>
      <c r="Y7" s="31">
        <f>(W7-T7*Y6)/(U7-T7*X6)</f>
        <v/>
      </c>
      <c r="Z7" s="31">
        <f>Y7-X7*Z8</f>
        <v/>
      </c>
      <c r="AA7" s="31">
        <f>IF(A7&lt;=INPUTS!$B$5,INPUTS!$C$21*INPUTS!$B$8^INPUTS!$D$21,IF(A7&lt;=INPUTS!$B$5+INPUTS!$B$6,INPUTS!$C$21*INPUTS!$B$9^INPUTS!$D$21,INPUTS!$C$21*INPUTS!$B$10^INPUTS!$D$21))</f>
        <v/>
      </c>
      <c r="AB7" s="31">
        <f>IF(A7=1,0,INPUTS!$B$13)</f>
        <v/>
      </c>
      <c r="AC7" s="31">
        <f>IF(A7&gt;INPUTS!$B$5+INPUTS!$B$6,-INPUTS!$B$13-INPUTS!$B$12/AA7,IF(A7&gt;INPUTS!$B$5,-INPUTS!$B$13-INPUTS!$B$12*INPUTS!$B$14/AA7,-INPUTS!$B$13-(INPUTS!$B$12*INPUTS!$B$14+INPUTS!$B$11)/AA7))</f>
        <v/>
      </c>
      <c r="AD7" s="31">
        <f>IF(A7&gt;INPUTS!$B$5+INPUTS!$B$6,INPUTS!$B$12/AA8,IF(A7&gt;=INPUTS!$B$5,INPUTS!$B$12*INPUTS!$B$14/AA8,(INPUTS!$B$12*INPUTS!$B$14+INPUTS!$B$11)/AA8))</f>
        <v/>
      </c>
      <c r="AE7" s="31">
        <f>IF(A7=INPUTS!$B$5,-INPUTS!$C$28*INPUTS!$B$11,0)</f>
        <v/>
      </c>
      <c r="AF7" s="31">
        <f>AD7/(AC7-AB7*AF6)</f>
        <v/>
      </c>
      <c r="AG7" s="31">
        <f>(AE7-AB7*AG6)/(AC7-AB7*AF6)</f>
        <v/>
      </c>
      <c r="AH7" s="31">
        <f>AG7-AF7*AH8</f>
        <v/>
      </c>
      <c r="AI7" s="32">
        <f>IF(C7&lt;&gt;0,J7/C7,0)</f>
        <v/>
      </c>
      <c r="AJ7" s="32">
        <f>IF(K7&lt;&gt;0,R7/K7,0)</f>
        <v/>
      </c>
      <c r="AK7" s="32">
        <f>IF(S7&lt;&gt;0,Z7/S7,0)</f>
        <v/>
      </c>
      <c r="AL7" s="32">
        <f>IF(AA7&lt;&gt;0,AH7/AA7,0)</f>
        <v/>
      </c>
      <c r="AM7" s="33">
        <f>J7+R7+Z7+AH7</f>
        <v/>
      </c>
      <c r="AN7" s="33">
        <f>AI7+AJ7+AK7+AL7</f>
        <v/>
      </c>
    </row>
    <row r="8">
      <c r="A8" s="29" t="n">
        <v>4</v>
      </c>
      <c r="B8" s="30">
        <f>IF(A8&lt;=INPUTS!$B$5,"Extraction",IF(A8&lt;=INPUTS!$B$5+INPUTS!$B$6,"Scrub","Strip"))</f>
        <v/>
      </c>
      <c r="C8" s="34">
        <f>IF(A8&lt;=INPUTS!$B$5,INPUTS!$C$18*INPUTS!$B$8^INPUTS!$D$18,IF(A8&lt;=INPUTS!$B$5+INPUTS!$B$6,INPUTS!$C$18*INPUTS!$B$9^INPUTS!$D$18,INPUTS!$C$18*INPUTS!$B$10^INPUTS!$D$18))</f>
        <v/>
      </c>
      <c r="D8" s="34">
        <f>IF(A8=1,0,INPUTS!$B$13)</f>
        <v/>
      </c>
      <c r="E8" s="34">
        <f>IF(A8&gt;INPUTS!$B$5+INPUTS!$B$6,-INPUTS!$B$13-INPUTS!$B$12/C8,IF(A8&gt;INPUTS!$B$5,-INPUTS!$B$13-INPUTS!$B$12*INPUTS!$B$14/C8,-INPUTS!$B$13-(INPUTS!$B$12*INPUTS!$B$14+INPUTS!$B$11)/C8))</f>
        <v/>
      </c>
      <c r="F8" s="34">
        <f>IF(A8&gt;INPUTS!$B$5+INPUTS!$B$6,INPUTS!$B$12/C9,IF(A8&gt;=INPUTS!$B$5,INPUTS!$B$12*INPUTS!$B$14/C9,(INPUTS!$B$12*INPUTS!$B$14+INPUTS!$B$11)/C9))</f>
        <v/>
      </c>
      <c r="G8" s="34">
        <f>IF(A8=INPUTS!$B$5,-INPUTS!$C$25*INPUTS!$B$11,0)</f>
        <v/>
      </c>
      <c r="H8" s="34">
        <f>F8/(E8-D8*H7)</f>
        <v/>
      </c>
      <c r="I8" s="34">
        <f>(G8-D8*I7)/(E8-D8*H7)</f>
        <v/>
      </c>
      <c r="J8" s="34">
        <f>I8-H8*J9</f>
        <v/>
      </c>
      <c r="K8" s="34">
        <f>IF(A8&lt;=INPUTS!$B$5,INPUTS!$C$19*INPUTS!$B$8^INPUTS!$D$19,IF(A8&lt;=INPUTS!$B$5+INPUTS!$B$6,INPUTS!$C$19*INPUTS!$B$9^INPUTS!$D$19,INPUTS!$C$19*INPUTS!$B$10^INPUTS!$D$19))</f>
        <v/>
      </c>
      <c r="L8" s="34">
        <f>IF(A8=1,0,INPUTS!$B$13)</f>
        <v/>
      </c>
      <c r="M8" s="34">
        <f>IF(A8&gt;INPUTS!$B$5+INPUTS!$B$6,-INPUTS!$B$13-INPUTS!$B$12/K8,IF(A8&gt;INPUTS!$B$5,-INPUTS!$B$13-INPUTS!$B$12*INPUTS!$B$14/K8,-INPUTS!$B$13-(INPUTS!$B$12*INPUTS!$B$14+INPUTS!$B$11)/K8))</f>
        <v/>
      </c>
      <c r="N8" s="34">
        <f>IF(A8&gt;INPUTS!$B$5+INPUTS!$B$6,INPUTS!$B$12/K9,IF(A8&gt;=INPUTS!$B$5,INPUTS!$B$12*INPUTS!$B$14/K9,(INPUTS!$B$12*INPUTS!$B$14+INPUTS!$B$11)/K9))</f>
        <v/>
      </c>
      <c r="O8" s="34">
        <f>IF(A8=INPUTS!$B$5,-INPUTS!$C$26*INPUTS!$B$11,0)</f>
        <v/>
      </c>
      <c r="P8" s="34">
        <f>N8/(M8-L8*P7)</f>
        <v/>
      </c>
      <c r="Q8" s="34">
        <f>(O8-L8*Q7)/(M8-L8*P7)</f>
        <v/>
      </c>
      <c r="R8" s="34">
        <f>Q8-P8*R9</f>
        <v/>
      </c>
      <c r="S8" s="34">
        <f>IF(A8&lt;=INPUTS!$B$5,INPUTS!$C$20*INPUTS!$B$8^INPUTS!$D$20,IF(A8&lt;=INPUTS!$B$5+INPUTS!$B$6,INPUTS!$C$20*INPUTS!$B$9^INPUTS!$D$20,INPUTS!$C$20*INPUTS!$B$10^INPUTS!$D$20))</f>
        <v/>
      </c>
      <c r="T8" s="34">
        <f>IF(A8=1,0,INPUTS!$B$13)</f>
        <v/>
      </c>
      <c r="U8" s="34">
        <f>IF(A8&gt;INPUTS!$B$5+INPUTS!$B$6,-INPUTS!$B$13-INPUTS!$B$12/S8,IF(A8&gt;INPUTS!$B$5,-INPUTS!$B$13-INPUTS!$B$12*INPUTS!$B$14/S8,-INPUTS!$B$13-(INPUTS!$B$12*INPUTS!$B$14+INPUTS!$B$11)/S8))</f>
        <v/>
      </c>
      <c r="V8" s="34">
        <f>IF(A8&gt;INPUTS!$B$5+INPUTS!$B$6,INPUTS!$B$12/S9,IF(A8&gt;=INPUTS!$B$5,INPUTS!$B$12*INPUTS!$B$14/S9,(INPUTS!$B$12*INPUTS!$B$14+INPUTS!$B$11)/S9))</f>
        <v/>
      </c>
      <c r="W8" s="34">
        <f>IF(A8=INPUTS!$B$5,-INPUTS!$C$27*INPUTS!$B$11,0)</f>
        <v/>
      </c>
      <c r="X8" s="34">
        <f>V8/(U8-T8*X7)</f>
        <v/>
      </c>
      <c r="Y8" s="34">
        <f>(W8-T8*Y7)/(U8-T8*X7)</f>
        <v/>
      </c>
      <c r="Z8" s="34">
        <f>Y8-X8*Z9</f>
        <v/>
      </c>
      <c r="AA8" s="34">
        <f>IF(A8&lt;=INPUTS!$B$5,INPUTS!$C$21*INPUTS!$B$8^INPUTS!$D$21,IF(A8&lt;=INPUTS!$B$5+INPUTS!$B$6,INPUTS!$C$21*INPUTS!$B$9^INPUTS!$D$21,INPUTS!$C$21*INPUTS!$B$10^INPUTS!$D$21))</f>
        <v/>
      </c>
      <c r="AB8" s="34">
        <f>IF(A8=1,0,INPUTS!$B$13)</f>
        <v/>
      </c>
      <c r="AC8" s="34">
        <f>IF(A8&gt;INPUTS!$B$5+INPUTS!$B$6,-INPUTS!$B$13-INPUTS!$B$12/AA8,IF(A8&gt;INPUTS!$B$5,-INPUTS!$B$13-INPUTS!$B$12*INPUTS!$B$14/AA8,-INPUTS!$B$13-(INPUTS!$B$12*INPUTS!$B$14+INPUTS!$B$11)/AA8))</f>
        <v/>
      </c>
      <c r="AD8" s="34">
        <f>IF(A8&gt;INPUTS!$B$5+INPUTS!$B$6,INPUTS!$B$12/AA9,IF(A8&gt;=INPUTS!$B$5,INPUTS!$B$12*INPUTS!$B$14/AA9,(INPUTS!$B$12*INPUTS!$B$14+INPUTS!$B$11)/AA9))</f>
        <v/>
      </c>
      <c r="AE8" s="34">
        <f>IF(A8=INPUTS!$B$5,-INPUTS!$C$28*INPUTS!$B$11,0)</f>
        <v/>
      </c>
      <c r="AF8" s="34">
        <f>AD8/(AC8-AB8*AF7)</f>
        <v/>
      </c>
      <c r="AG8" s="34">
        <f>(AE8-AB8*AG7)/(AC8-AB8*AF7)</f>
        <v/>
      </c>
      <c r="AH8" s="34">
        <f>AG8-AF8*AH9</f>
        <v/>
      </c>
      <c r="AI8" s="32">
        <f>IF(C8&lt;&gt;0,J8/C8,0)</f>
        <v/>
      </c>
      <c r="AJ8" s="32">
        <f>IF(K8&lt;&gt;0,R8/K8,0)</f>
        <v/>
      </c>
      <c r="AK8" s="32">
        <f>IF(S8&lt;&gt;0,Z8/S8,0)</f>
        <v/>
      </c>
      <c r="AL8" s="32">
        <f>IF(AA8&lt;&gt;0,AH8/AA8,0)</f>
        <v/>
      </c>
      <c r="AM8" s="33">
        <f>J8+R8+Z8+AH8</f>
        <v/>
      </c>
      <c r="AN8" s="33">
        <f>AI8+AJ8+AK8+AL8</f>
        <v/>
      </c>
    </row>
    <row r="9">
      <c r="A9" s="29" t="n">
        <v>5</v>
      </c>
      <c r="B9" s="30">
        <f>IF(A9&lt;=INPUTS!$B$5,"Extraction",IF(A9&lt;=INPUTS!$B$5+INPUTS!$B$6,"Scrub","Strip"))</f>
        <v/>
      </c>
      <c r="C9" s="31">
        <f>IF(A9&lt;=INPUTS!$B$5,INPUTS!$C$18*INPUTS!$B$8^INPUTS!$D$18,IF(A9&lt;=INPUTS!$B$5+INPUTS!$B$6,INPUTS!$C$18*INPUTS!$B$9^INPUTS!$D$18,INPUTS!$C$18*INPUTS!$B$10^INPUTS!$D$18))</f>
        <v/>
      </c>
      <c r="D9" s="31">
        <f>IF(A9=1,0,INPUTS!$B$13)</f>
        <v/>
      </c>
      <c r="E9" s="31">
        <f>IF(A9&gt;INPUTS!$B$5+INPUTS!$B$6,-INPUTS!$B$13-INPUTS!$B$12/C9,IF(A9&gt;INPUTS!$B$5,-INPUTS!$B$13-INPUTS!$B$12*INPUTS!$B$14/C9,-INPUTS!$B$13-(INPUTS!$B$12*INPUTS!$B$14+INPUTS!$B$11)/C9))</f>
        <v/>
      </c>
      <c r="F9" s="31">
        <f>IF(A9&gt;INPUTS!$B$5+INPUTS!$B$6,INPUTS!$B$12/C10,IF(A9&gt;=INPUTS!$B$5,INPUTS!$B$12*INPUTS!$B$14/C10,(INPUTS!$B$12*INPUTS!$B$14+INPUTS!$B$11)/C10))</f>
        <v/>
      </c>
      <c r="G9" s="31">
        <f>IF(A9=INPUTS!$B$5,-INPUTS!$C$25*INPUTS!$B$11,0)</f>
        <v/>
      </c>
      <c r="H9" s="31">
        <f>F9/(E9-D9*H8)</f>
        <v/>
      </c>
      <c r="I9" s="31">
        <f>(G9-D9*I8)/(E9-D9*H8)</f>
        <v/>
      </c>
      <c r="J9" s="31">
        <f>I9-H9*J10</f>
        <v/>
      </c>
      <c r="K9" s="31">
        <f>IF(A9&lt;=INPUTS!$B$5,INPUTS!$C$19*INPUTS!$B$8^INPUTS!$D$19,IF(A9&lt;=INPUTS!$B$5+INPUTS!$B$6,INPUTS!$C$19*INPUTS!$B$9^INPUTS!$D$19,INPUTS!$C$19*INPUTS!$B$10^INPUTS!$D$19))</f>
        <v/>
      </c>
      <c r="L9" s="31">
        <f>IF(A9=1,0,INPUTS!$B$13)</f>
        <v/>
      </c>
      <c r="M9" s="31">
        <f>IF(A9&gt;INPUTS!$B$5+INPUTS!$B$6,-INPUTS!$B$13-INPUTS!$B$12/K9,IF(A9&gt;INPUTS!$B$5,-INPUTS!$B$13-INPUTS!$B$12*INPUTS!$B$14/K9,-INPUTS!$B$13-(INPUTS!$B$12*INPUTS!$B$14+INPUTS!$B$11)/K9))</f>
        <v/>
      </c>
      <c r="N9" s="31">
        <f>IF(A9&gt;INPUTS!$B$5+INPUTS!$B$6,INPUTS!$B$12/K10,IF(A9&gt;=INPUTS!$B$5,INPUTS!$B$12*INPUTS!$B$14/K10,(INPUTS!$B$12*INPUTS!$B$14+INPUTS!$B$11)/K10))</f>
        <v/>
      </c>
      <c r="O9" s="31">
        <f>IF(A9=INPUTS!$B$5,-INPUTS!$C$26*INPUTS!$B$11,0)</f>
        <v/>
      </c>
      <c r="P9" s="31">
        <f>N9/(M9-L9*P8)</f>
        <v/>
      </c>
      <c r="Q9" s="31">
        <f>(O9-L9*Q8)/(M9-L9*P8)</f>
        <v/>
      </c>
      <c r="R9" s="31">
        <f>Q9-P9*R10</f>
        <v/>
      </c>
      <c r="S9" s="31">
        <f>IF(A9&lt;=INPUTS!$B$5,INPUTS!$C$20*INPUTS!$B$8^INPUTS!$D$20,IF(A9&lt;=INPUTS!$B$5+INPUTS!$B$6,INPUTS!$C$20*INPUTS!$B$9^INPUTS!$D$20,INPUTS!$C$20*INPUTS!$B$10^INPUTS!$D$20))</f>
        <v/>
      </c>
      <c r="T9" s="31">
        <f>IF(A9=1,0,INPUTS!$B$13)</f>
        <v/>
      </c>
      <c r="U9" s="31">
        <f>IF(A9&gt;INPUTS!$B$5+INPUTS!$B$6,-INPUTS!$B$13-INPUTS!$B$12/S9,IF(A9&gt;INPUTS!$B$5,-INPUTS!$B$13-INPUTS!$B$12*INPUTS!$B$14/S9,-INPUTS!$B$13-(INPUTS!$B$12*INPUTS!$B$14+INPUTS!$B$11)/S9))</f>
        <v/>
      </c>
      <c r="V9" s="31">
        <f>IF(A9&gt;INPUTS!$B$5+INPUTS!$B$6,INPUTS!$B$12/S10,IF(A9&gt;=INPUTS!$B$5,INPUTS!$B$12*INPUTS!$B$14/S10,(INPUTS!$B$12*INPUTS!$B$14+INPUTS!$B$11)/S10))</f>
        <v/>
      </c>
      <c r="W9" s="31">
        <f>IF(A9=INPUTS!$B$5,-INPUTS!$C$27*INPUTS!$B$11,0)</f>
        <v/>
      </c>
      <c r="X9" s="31">
        <f>V9/(U9-T9*X8)</f>
        <v/>
      </c>
      <c r="Y9" s="31">
        <f>(W9-T9*Y8)/(U9-T9*X8)</f>
        <v/>
      </c>
      <c r="Z9" s="31">
        <f>Y9-X9*Z10</f>
        <v/>
      </c>
      <c r="AA9" s="31">
        <f>IF(A9&lt;=INPUTS!$B$5,INPUTS!$C$21*INPUTS!$B$8^INPUTS!$D$21,IF(A9&lt;=INPUTS!$B$5+INPUTS!$B$6,INPUTS!$C$21*INPUTS!$B$9^INPUTS!$D$21,INPUTS!$C$21*INPUTS!$B$10^INPUTS!$D$21))</f>
        <v/>
      </c>
      <c r="AB9" s="31">
        <f>IF(A9=1,0,INPUTS!$B$13)</f>
        <v/>
      </c>
      <c r="AC9" s="31">
        <f>IF(A9&gt;INPUTS!$B$5+INPUTS!$B$6,-INPUTS!$B$13-INPUTS!$B$12/AA9,IF(A9&gt;INPUTS!$B$5,-INPUTS!$B$13-INPUTS!$B$12*INPUTS!$B$14/AA9,-INPUTS!$B$13-(INPUTS!$B$12*INPUTS!$B$14+INPUTS!$B$11)/AA9))</f>
        <v/>
      </c>
      <c r="AD9" s="31">
        <f>IF(A9&gt;INPUTS!$B$5+INPUTS!$B$6,INPUTS!$B$12/AA10,IF(A9&gt;=INPUTS!$B$5,INPUTS!$B$12*INPUTS!$B$14/AA10,(INPUTS!$B$12*INPUTS!$B$14+INPUTS!$B$11)/AA10))</f>
        <v/>
      </c>
      <c r="AE9" s="31">
        <f>IF(A9=INPUTS!$B$5,-INPUTS!$C$28*INPUTS!$B$11,0)</f>
        <v/>
      </c>
      <c r="AF9" s="31">
        <f>AD9/(AC9-AB9*AF8)</f>
        <v/>
      </c>
      <c r="AG9" s="31">
        <f>(AE9-AB9*AG8)/(AC9-AB9*AF8)</f>
        <v/>
      </c>
      <c r="AH9" s="31">
        <f>AG9-AF9*AH10</f>
        <v/>
      </c>
      <c r="AI9" s="32">
        <f>IF(C9&lt;&gt;0,J9/C9,0)</f>
        <v/>
      </c>
      <c r="AJ9" s="32">
        <f>IF(K9&lt;&gt;0,R9/K9,0)</f>
        <v/>
      </c>
      <c r="AK9" s="32">
        <f>IF(S9&lt;&gt;0,Z9/S9,0)</f>
        <v/>
      </c>
      <c r="AL9" s="32">
        <f>IF(AA9&lt;&gt;0,AH9/AA9,0)</f>
        <v/>
      </c>
      <c r="AM9" s="33">
        <f>J9+R9+Z9+AH9</f>
        <v/>
      </c>
      <c r="AN9" s="33">
        <f>AI9+AJ9+AK9+AL9</f>
        <v/>
      </c>
    </row>
    <row r="10">
      <c r="A10" s="29" t="n">
        <v>6</v>
      </c>
      <c r="B10" s="30">
        <f>IF(A10&lt;=INPUTS!$B$5,"Extraction",IF(A10&lt;=INPUTS!$B$5+INPUTS!$B$6,"Scrub","Strip"))</f>
        <v/>
      </c>
      <c r="C10" s="34">
        <f>IF(A10&lt;=INPUTS!$B$5,INPUTS!$C$18*INPUTS!$B$8^INPUTS!$D$18,IF(A10&lt;=INPUTS!$B$5+INPUTS!$B$6,INPUTS!$C$18*INPUTS!$B$9^INPUTS!$D$18,INPUTS!$C$18*INPUTS!$B$10^INPUTS!$D$18))</f>
        <v/>
      </c>
      <c r="D10" s="34">
        <f>IF(A10=1,0,INPUTS!$B$13)</f>
        <v/>
      </c>
      <c r="E10" s="34">
        <f>IF(A10&gt;INPUTS!$B$5+INPUTS!$B$6,-INPUTS!$B$13-INPUTS!$B$12/C10,IF(A10&gt;INPUTS!$B$5,-INPUTS!$B$13-INPUTS!$B$12*INPUTS!$B$14/C10,-INPUTS!$B$13-(INPUTS!$B$12*INPUTS!$B$14+INPUTS!$B$11)/C10))</f>
        <v/>
      </c>
      <c r="F10" s="34">
        <f>IF(A10&gt;INPUTS!$B$5+INPUTS!$B$6,INPUTS!$B$12/C11,IF(A10&gt;=INPUTS!$B$5,INPUTS!$B$12*INPUTS!$B$14/C11,(INPUTS!$B$12*INPUTS!$B$14+INPUTS!$B$11)/C11))</f>
        <v/>
      </c>
      <c r="G10" s="34">
        <f>IF(A10=INPUTS!$B$5,-INPUTS!$C$25*INPUTS!$B$11,0)</f>
        <v/>
      </c>
      <c r="H10" s="34">
        <f>F10/(E10-D10*H9)</f>
        <v/>
      </c>
      <c r="I10" s="34">
        <f>(G10-D10*I9)/(E10-D10*H9)</f>
        <v/>
      </c>
      <c r="J10" s="34">
        <f>I10-H10*J11</f>
        <v/>
      </c>
      <c r="K10" s="34">
        <f>IF(A10&lt;=INPUTS!$B$5,INPUTS!$C$19*INPUTS!$B$8^INPUTS!$D$19,IF(A10&lt;=INPUTS!$B$5+INPUTS!$B$6,INPUTS!$C$19*INPUTS!$B$9^INPUTS!$D$19,INPUTS!$C$19*INPUTS!$B$10^INPUTS!$D$19))</f>
        <v/>
      </c>
      <c r="L10" s="34">
        <f>IF(A10=1,0,INPUTS!$B$13)</f>
        <v/>
      </c>
      <c r="M10" s="34">
        <f>IF(A10&gt;INPUTS!$B$5+INPUTS!$B$6,-INPUTS!$B$13-INPUTS!$B$12/K10,IF(A10&gt;INPUTS!$B$5,-INPUTS!$B$13-INPUTS!$B$12*INPUTS!$B$14/K10,-INPUTS!$B$13-(INPUTS!$B$12*INPUTS!$B$14+INPUTS!$B$11)/K10))</f>
        <v/>
      </c>
      <c r="N10" s="34">
        <f>IF(A10&gt;INPUTS!$B$5+INPUTS!$B$6,INPUTS!$B$12/K11,IF(A10&gt;=INPUTS!$B$5,INPUTS!$B$12*INPUTS!$B$14/K11,(INPUTS!$B$12*INPUTS!$B$14+INPUTS!$B$11)/K11))</f>
        <v/>
      </c>
      <c r="O10" s="34">
        <f>IF(A10=INPUTS!$B$5,-INPUTS!$C$26*INPUTS!$B$11,0)</f>
        <v/>
      </c>
      <c r="P10" s="34">
        <f>N10/(M10-L10*P9)</f>
        <v/>
      </c>
      <c r="Q10" s="34">
        <f>(O10-L10*Q9)/(M10-L10*P9)</f>
        <v/>
      </c>
      <c r="R10" s="34">
        <f>Q10-P10*R11</f>
        <v/>
      </c>
      <c r="S10" s="34">
        <f>IF(A10&lt;=INPUTS!$B$5,INPUTS!$C$20*INPUTS!$B$8^INPUTS!$D$20,IF(A10&lt;=INPUTS!$B$5+INPUTS!$B$6,INPUTS!$C$20*INPUTS!$B$9^INPUTS!$D$20,INPUTS!$C$20*INPUTS!$B$10^INPUTS!$D$20))</f>
        <v/>
      </c>
      <c r="T10" s="34">
        <f>IF(A10=1,0,INPUTS!$B$13)</f>
        <v/>
      </c>
      <c r="U10" s="34">
        <f>IF(A10&gt;INPUTS!$B$5+INPUTS!$B$6,-INPUTS!$B$13-INPUTS!$B$12/S10,IF(A10&gt;INPUTS!$B$5,-INPUTS!$B$13-INPUTS!$B$12*INPUTS!$B$14/S10,-INPUTS!$B$13-(INPUTS!$B$12*INPUTS!$B$14+INPUTS!$B$11)/S10))</f>
        <v/>
      </c>
      <c r="V10" s="34">
        <f>IF(A10&gt;INPUTS!$B$5+INPUTS!$B$6,INPUTS!$B$12/S11,IF(A10&gt;=INPUTS!$B$5,INPUTS!$B$12*INPUTS!$B$14/S11,(INPUTS!$B$12*INPUTS!$B$14+INPUTS!$B$11)/S11))</f>
        <v/>
      </c>
      <c r="W10" s="34">
        <f>IF(A10=INPUTS!$B$5,-INPUTS!$C$27*INPUTS!$B$11,0)</f>
        <v/>
      </c>
      <c r="X10" s="34">
        <f>V10/(U10-T10*X9)</f>
        <v/>
      </c>
      <c r="Y10" s="34">
        <f>(W10-T10*Y9)/(U10-T10*X9)</f>
        <v/>
      </c>
      <c r="Z10" s="34">
        <f>Y10-X10*Z11</f>
        <v/>
      </c>
      <c r="AA10" s="34">
        <f>IF(A10&lt;=INPUTS!$B$5,INPUTS!$C$21*INPUTS!$B$8^INPUTS!$D$21,IF(A10&lt;=INPUTS!$B$5+INPUTS!$B$6,INPUTS!$C$21*INPUTS!$B$9^INPUTS!$D$21,INPUTS!$C$21*INPUTS!$B$10^INPUTS!$D$21))</f>
        <v/>
      </c>
      <c r="AB10" s="34">
        <f>IF(A10=1,0,INPUTS!$B$13)</f>
        <v/>
      </c>
      <c r="AC10" s="34">
        <f>IF(A10&gt;INPUTS!$B$5+INPUTS!$B$6,-INPUTS!$B$13-INPUTS!$B$12/AA10,IF(A10&gt;INPUTS!$B$5,-INPUTS!$B$13-INPUTS!$B$12*INPUTS!$B$14/AA10,-INPUTS!$B$13-(INPUTS!$B$12*INPUTS!$B$14+INPUTS!$B$11)/AA10))</f>
        <v/>
      </c>
      <c r="AD10" s="34">
        <f>IF(A10&gt;INPUTS!$B$5+INPUTS!$B$6,INPUTS!$B$12/AA11,IF(A10&gt;=INPUTS!$B$5,INPUTS!$B$12*INPUTS!$B$14/AA11,(INPUTS!$B$12*INPUTS!$B$14+INPUTS!$B$11)/AA11))</f>
        <v/>
      </c>
      <c r="AE10" s="34">
        <f>IF(A10=INPUTS!$B$5,-INPUTS!$C$28*INPUTS!$B$11,0)</f>
        <v/>
      </c>
      <c r="AF10" s="34">
        <f>AD10/(AC10-AB10*AF9)</f>
        <v/>
      </c>
      <c r="AG10" s="34">
        <f>(AE10-AB10*AG9)/(AC10-AB10*AF9)</f>
        <v/>
      </c>
      <c r="AH10" s="34">
        <f>AG10-AF10*AH11</f>
        <v/>
      </c>
      <c r="AI10" s="32">
        <f>IF(C10&lt;&gt;0,J10/C10,0)</f>
        <v/>
      </c>
      <c r="AJ10" s="32">
        <f>IF(K10&lt;&gt;0,R10/K10,0)</f>
        <v/>
      </c>
      <c r="AK10" s="32">
        <f>IF(S10&lt;&gt;0,Z10/S10,0)</f>
        <v/>
      </c>
      <c r="AL10" s="32">
        <f>IF(AA10&lt;&gt;0,AH10/AA10,0)</f>
        <v/>
      </c>
      <c r="AM10" s="33">
        <f>J10+R10+Z10+AH10</f>
        <v/>
      </c>
      <c r="AN10" s="33">
        <f>AI10+AJ10+AK10+AL10</f>
        <v/>
      </c>
    </row>
    <row r="11">
      <c r="A11" s="29" t="n">
        <v>7</v>
      </c>
      <c r="B11" s="30">
        <f>IF(A11&lt;=INPUTS!$B$5,"Extraction",IF(A11&lt;=INPUTS!$B$5+INPUTS!$B$6,"Scrub","Strip"))</f>
        <v/>
      </c>
      <c r="C11" s="31">
        <f>IF(A11&lt;=INPUTS!$B$5,INPUTS!$C$18*INPUTS!$B$8^INPUTS!$D$18,IF(A11&lt;=INPUTS!$B$5+INPUTS!$B$6,INPUTS!$C$18*INPUTS!$B$9^INPUTS!$D$18,INPUTS!$C$18*INPUTS!$B$10^INPUTS!$D$18))</f>
        <v/>
      </c>
      <c r="D11" s="31">
        <f>IF(A11=1,0,INPUTS!$B$13)</f>
        <v/>
      </c>
      <c r="E11" s="31">
        <f>IF(A11&gt;INPUTS!$B$5+INPUTS!$B$6,-INPUTS!$B$13-INPUTS!$B$12/C11,IF(A11&gt;INPUTS!$B$5,-INPUTS!$B$13-INPUTS!$B$12*INPUTS!$B$14/C11,-INPUTS!$B$13-(INPUTS!$B$12*INPUTS!$B$14+INPUTS!$B$11)/C11))</f>
        <v/>
      </c>
      <c r="F11" s="31">
        <f>IF(A11&gt;INPUTS!$B$5+INPUTS!$B$6,INPUTS!$B$12/C12,IF(A11&gt;=INPUTS!$B$5,INPUTS!$B$12*INPUTS!$B$14/C12,(INPUTS!$B$12*INPUTS!$B$14+INPUTS!$B$11)/C12))</f>
        <v/>
      </c>
      <c r="G11" s="31">
        <f>IF(A11=INPUTS!$B$5,-INPUTS!$C$25*INPUTS!$B$11,0)</f>
        <v/>
      </c>
      <c r="H11" s="31">
        <f>F11/(E11-D11*H10)</f>
        <v/>
      </c>
      <c r="I11" s="31">
        <f>(G11-D11*I10)/(E11-D11*H10)</f>
        <v/>
      </c>
      <c r="J11" s="31">
        <f>I11-H11*J12</f>
        <v/>
      </c>
      <c r="K11" s="31">
        <f>IF(A11&lt;=INPUTS!$B$5,INPUTS!$C$19*INPUTS!$B$8^INPUTS!$D$19,IF(A11&lt;=INPUTS!$B$5+INPUTS!$B$6,INPUTS!$C$19*INPUTS!$B$9^INPUTS!$D$19,INPUTS!$C$19*INPUTS!$B$10^INPUTS!$D$19))</f>
        <v/>
      </c>
      <c r="L11" s="31">
        <f>IF(A11=1,0,INPUTS!$B$13)</f>
        <v/>
      </c>
      <c r="M11" s="31">
        <f>IF(A11&gt;INPUTS!$B$5+INPUTS!$B$6,-INPUTS!$B$13-INPUTS!$B$12/K11,IF(A11&gt;INPUTS!$B$5,-INPUTS!$B$13-INPUTS!$B$12*INPUTS!$B$14/K11,-INPUTS!$B$13-(INPUTS!$B$12*INPUTS!$B$14+INPUTS!$B$11)/K11))</f>
        <v/>
      </c>
      <c r="N11" s="31">
        <f>IF(A11&gt;INPUTS!$B$5+INPUTS!$B$6,INPUTS!$B$12/K12,IF(A11&gt;=INPUTS!$B$5,INPUTS!$B$12*INPUTS!$B$14/K12,(INPUTS!$B$12*INPUTS!$B$14+INPUTS!$B$11)/K12))</f>
        <v/>
      </c>
      <c r="O11" s="31">
        <f>IF(A11=INPUTS!$B$5,-INPUTS!$C$26*INPUTS!$B$11,0)</f>
        <v/>
      </c>
      <c r="P11" s="31">
        <f>N11/(M11-L11*P10)</f>
        <v/>
      </c>
      <c r="Q11" s="31">
        <f>(O11-L11*Q10)/(M11-L11*P10)</f>
        <v/>
      </c>
      <c r="R11" s="31">
        <f>Q11-P11*R12</f>
        <v/>
      </c>
      <c r="S11" s="31">
        <f>IF(A11&lt;=INPUTS!$B$5,INPUTS!$C$20*INPUTS!$B$8^INPUTS!$D$20,IF(A11&lt;=INPUTS!$B$5+INPUTS!$B$6,INPUTS!$C$20*INPUTS!$B$9^INPUTS!$D$20,INPUTS!$C$20*INPUTS!$B$10^INPUTS!$D$20))</f>
        <v/>
      </c>
      <c r="T11" s="31">
        <f>IF(A11=1,0,INPUTS!$B$13)</f>
        <v/>
      </c>
      <c r="U11" s="31">
        <f>IF(A11&gt;INPUTS!$B$5+INPUTS!$B$6,-INPUTS!$B$13-INPUTS!$B$12/S11,IF(A11&gt;INPUTS!$B$5,-INPUTS!$B$13-INPUTS!$B$12*INPUTS!$B$14/S11,-INPUTS!$B$13-(INPUTS!$B$12*INPUTS!$B$14+INPUTS!$B$11)/S11))</f>
        <v/>
      </c>
      <c r="V11" s="31">
        <f>IF(A11&gt;INPUTS!$B$5+INPUTS!$B$6,INPUTS!$B$12/S12,IF(A11&gt;=INPUTS!$B$5,INPUTS!$B$12*INPUTS!$B$14/S12,(INPUTS!$B$12*INPUTS!$B$14+INPUTS!$B$11)/S12))</f>
        <v/>
      </c>
      <c r="W11" s="31">
        <f>IF(A11=INPUTS!$B$5,-INPUTS!$C$27*INPUTS!$B$11,0)</f>
        <v/>
      </c>
      <c r="X11" s="31">
        <f>V11/(U11-T11*X10)</f>
        <v/>
      </c>
      <c r="Y11" s="31">
        <f>(W11-T11*Y10)/(U11-T11*X10)</f>
        <v/>
      </c>
      <c r="Z11" s="31">
        <f>Y11-X11*Z12</f>
        <v/>
      </c>
      <c r="AA11" s="31">
        <f>IF(A11&lt;=INPUTS!$B$5,INPUTS!$C$21*INPUTS!$B$8^INPUTS!$D$21,IF(A11&lt;=INPUTS!$B$5+INPUTS!$B$6,INPUTS!$C$21*INPUTS!$B$9^INPUTS!$D$21,INPUTS!$C$21*INPUTS!$B$10^INPUTS!$D$21))</f>
        <v/>
      </c>
      <c r="AB11" s="31">
        <f>IF(A11=1,0,INPUTS!$B$13)</f>
        <v/>
      </c>
      <c r="AC11" s="31">
        <f>IF(A11&gt;INPUTS!$B$5+INPUTS!$B$6,-INPUTS!$B$13-INPUTS!$B$12/AA11,IF(A11&gt;INPUTS!$B$5,-INPUTS!$B$13-INPUTS!$B$12*INPUTS!$B$14/AA11,-INPUTS!$B$13-(INPUTS!$B$12*INPUTS!$B$14+INPUTS!$B$11)/AA11))</f>
        <v/>
      </c>
      <c r="AD11" s="31">
        <f>IF(A11&gt;INPUTS!$B$5+INPUTS!$B$6,INPUTS!$B$12/AA12,IF(A11&gt;=INPUTS!$B$5,INPUTS!$B$12*INPUTS!$B$14/AA12,(INPUTS!$B$12*INPUTS!$B$14+INPUTS!$B$11)/AA12))</f>
        <v/>
      </c>
      <c r="AE11" s="31">
        <f>IF(A11=INPUTS!$B$5,-INPUTS!$C$28*INPUTS!$B$11,0)</f>
        <v/>
      </c>
      <c r="AF11" s="31">
        <f>AD11/(AC11-AB11*AF10)</f>
        <v/>
      </c>
      <c r="AG11" s="31">
        <f>(AE11-AB11*AG10)/(AC11-AB11*AF10)</f>
        <v/>
      </c>
      <c r="AH11" s="31">
        <f>AG11-AF11*AH12</f>
        <v/>
      </c>
      <c r="AI11" s="32">
        <f>IF(C11&lt;&gt;0,J11/C11,0)</f>
        <v/>
      </c>
      <c r="AJ11" s="32">
        <f>IF(K11&lt;&gt;0,R11/K11,0)</f>
        <v/>
      </c>
      <c r="AK11" s="32">
        <f>IF(S11&lt;&gt;0,Z11/S11,0)</f>
        <v/>
      </c>
      <c r="AL11" s="32">
        <f>IF(AA11&lt;&gt;0,AH11/AA11,0)</f>
        <v/>
      </c>
      <c r="AM11" s="33">
        <f>J11+R11+Z11+AH11</f>
        <v/>
      </c>
      <c r="AN11" s="33">
        <f>AI11+AJ11+AK11+AL11</f>
        <v/>
      </c>
    </row>
    <row r="12">
      <c r="A12" s="29" t="n">
        <v>8</v>
      </c>
      <c r="B12" s="30">
        <f>IF(A12&lt;=INPUTS!$B$5,"Extraction",IF(A12&lt;=INPUTS!$B$5+INPUTS!$B$6,"Scrub","Strip"))</f>
        <v/>
      </c>
      <c r="C12" s="34">
        <f>IF(A12&lt;=INPUTS!$B$5,INPUTS!$C$18*INPUTS!$B$8^INPUTS!$D$18,IF(A12&lt;=INPUTS!$B$5+INPUTS!$B$6,INPUTS!$C$18*INPUTS!$B$9^INPUTS!$D$18,INPUTS!$C$18*INPUTS!$B$10^INPUTS!$D$18))</f>
        <v/>
      </c>
      <c r="D12" s="34">
        <f>IF(A12=1,0,INPUTS!$B$13)</f>
        <v/>
      </c>
      <c r="E12" s="34">
        <f>IF(A12&gt;INPUTS!$B$5+INPUTS!$B$6,-INPUTS!$B$13-INPUTS!$B$12/C12,IF(A12&gt;INPUTS!$B$5,-INPUTS!$B$13-INPUTS!$B$12*INPUTS!$B$14/C12,-INPUTS!$B$13-(INPUTS!$B$12*INPUTS!$B$14+INPUTS!$B$11)/C12))</f>
        <v/>
      </c>
      <c r="F12" s="34">
        <f>IF(A12&gt;INPUTS!$B$5+INPUTS!$B$6,INPUTS!$B$12/C13,IF(A12&gt;=INPUTS!$B$5,INPUTS!$B$12*INPUTS!$B$14/C13,(INPUTS!$B$12*INPUTS!$B$14+INPUTS!$B$11)/C13))</f>
        <v/>
      </c>
      <c r="G12" s="34">
        <f>IF(A12=INPUTS!$B$5,-INPUTS!$C$25*INPUTS!$B$11,0)</f>
        <v/>
      </c>
      <c r="H12" s="34">
        <f>F12/(E12-D12*H11)</f>
        <v/>
      </c>
      <c r="I12" s="34">
        <f>(G12-D12*I11)/(E12-D12*H11)</f>
        <v/>
      </c>
      <c r="J12" s="34">
        <f>I12-H12*J13</f>
        <v/>
      </c>
      <c r="K12" s="34">
        <f>IF(A12&lt;=INPUTS!$B$5,INPUTS!$C$19*INPUTS!$B$8^INPUTS!$D$19,IF(A12&lt;=INPUTS!$B$5+INPUTS!$B$6,INPUTS!$C$19*INPUTS!$B$9^INPUTS!$D$19,INPUTS!$C$19*INPUTS!$B$10^INPUTS!$D$19))</f>
        <v/>
      </c>
      <c r="L12" s="34">
        <f>IF(A12=1,0,INPUTS!$B$13)</f>
        <v/>
      </c>
      <c r="M12" s="34">
        <f>IF(A12&gt;INPUTS!$B$5+INPUTS!$B$6,-INPUTS!$B$13-INPUTS!$B$12/K12,IF(A12&gt;INPUTS!$B$5,-INPUTS!$B$13-INPUTS!$B$12*INPUTS!$B$14/K12,-INPUTS!$B$13-(INPUTS!$B$12*INPUTS!$B$14+INPUTS!$B$11)/K12))</f>
        <v/>
      </c>
      <c r="N12" s="34">
        <f>IF(A12&gt;INPUTS!$B$5+INPUTS!$B$6,INPUTS!$B$12/K13,IF(A12&gt;=INPUTS!$B$5,INPUTS!$B$12*INPUTS!$B$14/K13,(INPUTS!$B$12*INPUTS!$B$14+INPUTS!$B$11)/K13))</f>
        <v/>
      </c>
      <c r="O12" s="34">
        <f>IF(A12=INPUTS!$B$5,-INPUTS!$C$26*INPUTS!$B$11,0)</f>
        <v/>
      </c>
      <c r="P12" s="34">
        <f>N12/(M12-L12*P11)</f>
        <v/>
      </c>
      <c r="Q12" s="34">
        <f>(O12-L12*Q11)/(M12-L12*P11)</f>
        <v/>
      </c>
      <c r="R12" s="34">
        <f>Q12-P12*R13</f>
        <v/>
      </c>
      <c r="S12" s="34">
        <f>IF(A12&lt;=INPUTS!$B$5,INPUTS!$C$20*INPUTS!$B$8^INPUTS!$D$20,IF(A12&lt;=INPUTS!$B$5+INPUTS!$B$6,INPUTS!$C$20*INPUTS!$B$9^INPUTS!$D$20,INPUTS!$C$20*INPUTS!$B$10^INPUTS!$D$20))</f>
        <v/>
      </c>
      <c r="T12" s="34">
        <f>IF(A12=1,0,INPUTS!$B$13)</f>
        <v/>
      </c>
      <c r="U12" s="34">
        <f>IF(A12&gt;INPUTS!$B$5+INPUTS!$B$6,-INPUTS!$B$13-INPUTS!$B$12/S12,IF(A12&gt;INPUTS!$B$5,-INPUTS!$B$13-INPUTS!$B$12*INPUTS!$B$14/S12,-INPUTS!$B$13-(INPUTS!$B$12*INPUTS!$B$14+INPUTS!$B$11)/S12))</f>
        <v/>
      </c>
      <c r="V12" s="34">
        <f>IF(A12&gt;INPUTS!$B$5+INPUTS!$B$6,INPUTS!$B$12/S13,IF(A12&gt;=INPUTS!$B$5,INPUTS!$B$12*INPUTS!$B$14/S13,(INPUTS!$B$12*INPUTS!$B$14+INPUTS!$B$11)/S13))</f>
        <v/>
      </c>
      <c r="W12" s="34">
        <f>IF(A12=INPUTS!$B$5,-INPUTS!$C$27*INPUTS!$B$11,0)</f>
        <v/>
      </c>
      <c r="X12" s="34">
        <f>V12/(U12-T12*X11)</f>
        <v/>
      </c>
      <c r="Y12" s="34">
        <f>(W12-T12*Y11)/(U12-T12*X11)</f>
        <v/>
      </c>
      <c r="Z12" s="34">
        <f>Y12-X12*Z13</f>
        <v/>
      </c>
      <c r="AA12" s="34">
        <f>IF(A12&lt;=INPUTS!$B$5,INPUTS!$C$21*INPUTS!$B$8^INPUTS!$D$21,IF(A12&lt;=INPUTS!$B$5+INPUTS!$B$6,INPUTS!$C$21*INPUTS!$B$9^INPUTS!$D$21,INPUTS!$C$21*INPUTS!$B$10^INPUTS!$D$21))</f>
        <v/>
      </c>
      <c r="AB12" s="34">
        <f>IF(A12=1,0,INPUTS!$B$13)</f>
        <v/>
      </c>
      <c r="AC12" s="34">
        <f>IF(A12&gt;INPUTS!$B$5+INPUTS!$B$6,-INPUTS!$B$13-INPUTS!$B$12/AA12,IF(A12&gt;INPUTS!$B$5,-INPUTS!$B$13-INPUTS!$B$12*INPUTS!$B$14/AA12,-INPUTS!$B$13-(INPUTS!$B$12*INPUTS!$B$14+INPUTS!$B$11)/AA12))</f>
        <v/>
      </c>
      <c r="AD12" s="34">
        <f>IF(A12&gt;INPUTS!$B$5+INPUTS!$B$6,INPUTS!$B$12/AA13,IF(A12&gt;=INPUTS!$B$5,INPUTS!$B$12*INPUTS!$B$14/AA13,(INPUTS!$B$12*INPUTS!$B$14+INPUTS!$B$11)/AA13))</f>
        <v/>
      </c>
      <c r="AE12" s="34">
        <f>IF(A12=INPUTS!$B$5,-INPUTS!$C$28*INPUTS!$B$11,0)</f>
        <v/>
      </c>
      <c r="AF12" s="34">
        <f>AD12/(AC12-AB12*AF11)</f>
        <v/>
      </c>
      <c r="AG12" s="34">
        <f>(AE12-AB12*AG11)/(AC12-AB12*AF11)</f>
        <v/>
      </c>
      <c r="AH12" s="34">
        <f>AG12-AF12*AH13</f>
        <v/>
      </c>
      <c r="AI12" s="32">
        <f>IF(C12&lt;&gt;0,J12/C12,0)</f>
        <v/>
      </c>
      <c r="AJ12" s="32">
        <f>IF(K12&lt;&gt;0,R12/K12,0)</f>
        <v/>
      </c>
      <c r="AK12" s="32">
        <f>IF(S12&lt;&gt;0,Z12/S12,0)</f>
        <v/>
      </c>
      <c r="AL12" s="32">
        <f>IF(AA12&lt;&gt;0,AH12/AA12,0)</f>
        <v/>
      </c>
      <c r="AM12" s="33">
        <f>J12+R12+Z12+AH12</f>
        <v/>
      </c>
      <c r="AN12" s="33">
        <f>AI12+AJ12+AK12+AL12</f>
        <v/>
      </c>
    </row>
    <row r="13">
      <c r="A13" s="29" t="n">
        <v>9</v>
      </c>
      <c r="B13" s="30">
        <f>IF(A13&lt;=INPUTS!$B$5,"Extraction",IF(A13&lt;=INPUTS!$B$5+INPUTS!$B$6,"Scrub","Strip"))</f>
        <v/>
      </c>
      <c r="C13" s="31">
        <f>IF(A13&lt;=INPUTS!$B$5,INPUTS!$C$18*INPUTS!$B$8^INPUTS!$D$18,IF(A13&lt;=INPUTS!$B$5+INPUTS!$B$6,INPUTS!$C$18*INPUTS!$B$9^INPUTS!$D$18,INPUTS!$C$18*INPUTS!$B$10^INPUTS!$D$18))</f>
        <v/>
      </c>
      <c r="D13" s="31">
        <f>IF(A13=1,0,INPUTS!$B$13)</f>
        <v/>
      </c>
      <c r="E13" s="31">
        <f>IF(A13&gt;INPUTS!$B$5+INPUTS!$B$6,-INPUTS!$B$13-INPUTS!$B$12/C13,IF(A13&gt;INPUTS!$B$5,-INPUTS!$B$13-INPUTS!$B$12*INPUTS!$B$14/C13,-INPUTS!$B$13-(INPUTS!$B$12*INPUTS!$B$14+INPUTS!$B$11)/C13))</f>
        <v/>
      </c>
      <c r="F13" s="31">
        <f>IF(A13&gt;INPUTS!$B$5+INPUTS!$B$6,INPUTS!$B$12/C14,IF(A13&gt;=INPUTS!$B$5,INPUTS!$B$12*INPUTS!$B$14/C14,(INPUTS!$B$12*INPUTS!$B$14+INPUTS!$B$11)/C14))</f>
        <v/>
      </c>
      <c r="G13" s="31">
        <f>IF(A13=INPUTS!$B$5,-INPUTS!$C$25*INPUTS!$B$11,0)</f>
        <v/>
      </c>
      <c r="H13" s="31">
        <f>F13/(E13-D13*H12)</f>
        <v/>
      </c>
      <c r="I13" s="31">
        <f>(G13-D13*I12)/(E13-D13*H12)</f>
        <v/>
      </c>
      <c r="J13" s="31">
        <f>I13-H13*J14</f>
        <v/>
      </c>
      <c r="K13" s="31">
        <f>IF(A13&lt;=INPUTS!$B$5,INPUTS!$C$19*INPUTS!$B$8^INPUTS!$D$19,IF(A13&lt;=INPUTS!$B$5+INPUTS!$B$6,INPUTS!$C$19*INPUTS!$B$9^INPUTS!$D$19,INPUTS!$C$19*INPUTS!$B$10^INPUTS!$D$19))</f>
        <v/>
      </c>
      <c r="L13" s="31">
        <f>IF(A13=1,0,INPUTS!$B$13)</f>
        <v/>
      </c>
      <c r="M13" s="31">
        <f>IF(A13&gt;INPUTS!$B$5+INPUTS!$B$6,-INPUTS!$B$13-INPUTS!$B$12/K13,IF(A13&gt;INPUTS!$B$5,-INPUTS!$B$13-INPUTS!$B$12*INPUTS!$B$14/K13,-INPUTS!$B$13-(INPUTS!$B$12*INPUTS!$B$14+INPUTS!$B$11)/K13))</f>
        <v/>
      </c>
      <c r="N13" s="31">
        <f>IF(A13&gt;INPUTS!$B$5+INPUTS!$B$6,INPUTS!$B$12/K14,IF(A13&gt;=INPUTS!$B$5,INPUTS!$B$12*INPUTS!$B$14/K14,(INPUTS!$B$12*INPUTS!$B$14+INPUTS!$B$11)/K14))</f>
        <v/>
      </c>
      <c r="O13" s="31">
        <f>IF(A13=INPUTS!$B$5,-INPUTS!$C$26*INPUTS!$B$11,0)</f>
        <v/>
      </c>
      <c r="P13" s="31">
        <f>N13/(M13-L13*P12)</f>
        <v/>
      </c>
      <c r="Q13" s="31">
        <f>(O13-L13*Q12)/(M13-L13*P12)</f>
        <v/>
      </c>
      <c r="R13" s="31">
        <f>Q13-P13*R14</f>
        <v/>
      </c>
      <c r="S13" s="31">
        <f>IF(A13&lt;=INPUTS!$B$5,INPUTS!$C$20*INPUTS!$B$8^INPUTS!$D$20,IF(A13&lt;=INPUTS!$B$5+INPUTS!$B$6,INPUTS!$C$20*INPUTS!$B$9^INPUTS!$D$20,INPUTS!$C$20*INPUTS!$B$10^INPUTS!$D$20))</f>
        <v/>
      </c>
      <c r="T13" s="31">
        <f>IF(A13=1,0,INPUTS!$B$13)</f>
        <v/>
      </c>
      <c r="U13" s="31">
        <f>IF(A13&gt;INPUTS!$B$5+INPUTS!$B$6,-INPUTS!$B$13-INPUTS!$B$12/S13,IF(A13&gt;INPUTS!$B$5,-INPUTS!$B$13-INPUTS!$B$12*INPUTS!$B$14/S13,-INPUTS!$B$13-(INPUTS!$B$12*INPUTS!$B$14+INPUTS!$B$11)/S13))</f>
        <v/>
      </c>
      <c r="V13" s="31">
        <f>IF(A13&gt;INPUTS!$B$5+INPUTS!$B$6,INPUTS!$B$12/S14,IF(A13&gt;=INPUTS!$B$5,INPUTS!$B$12*INPUTS!$B$14/S14,(INPUTS!$B$12*INPUTS!$B$14+INPUTS!$B$11)/S14))</f>
        <v/>
      </c>
      <c r="W13" s="31">
        <f>IF(A13=INPUTS!$B$5,-INPUTS!$C$27*INPUTS!$B$11,0)</f>
        <v/>
      </c>
      <c r="X13" s="31">
        <f>V13/(U13-T13*X12)</f>
        <v/>
      </c>
      <c r="Y13" s="31">
        <f>(W13-T13*Y12)/(U13-T13*X12)</f>
        <v/>
      </c>
      <c r="Z13" s="31">
        <f>Y13-X13*Z14</f>
        <v/>
      </c>
      <c r="AA13" s="31">
        <f>IF(A13&lt;=INPUTS!$B$5,INPUTS!$C$21*INPUTS!$B$8^INPUTS!$D$21,IF(A13&lt;=INPUTS!$B$5+INPUTS!$B$6,INPUTS!$C$21*INPUTS!$B$9^INPUTS!$D$21,INPUTS!$C$21*INPUTS!$B$10^INPUTS!$D$21))</f>
        <v/>
      </c>
      <c r="AB13" s="31">
        <f>IF(A13=1,0,INPUTS!$B$13)</f>
        <v/>
      </c>
      <c r="AC13" s="31">
        <f>IF(A13&gt;INPUTS!$B$5+INPUTS!$B$6,-INPUTS!$B$13-INPUTS!$B$12/AA13,IF(A13&gt;INPUTS!$B$5,-INPUTS!$B$13-INPUTS!$B$12*INPUTS!$B$14/AA13,-INPUTS!$B$13-(INPUTS!$B$12*INPUTS!$B$14+INPUTS!$B$11)/AA13))</f>
        <v/>
      </c>
      <c r="AD13" s="31">
        <f>IF(A13&gt;INPUTS!$B$5+INPUTS!$B$6,INPUTS!$B$12/AA14,IF(A13&gt;=INPUTS!$B$5,INPUTS!$B$12*INPUTS!$B$14/AA14,(INPUTS!$B$12*INPUTS!$B$14+INPUTS!$B$11)/AA14))</f>
        <v/>
      </c>
      <c r="AE13" s="31">
        <f>IF(A13=INPUTS!$B$5,-INPUTS!$C$28*INPUTS!$B$11,0)</f>
        <v/>
      </c>
      <c r="AF13" s="31">
        <f>AD13/(AC13-AB13*AF12)</f>
        <v/>
      </c>
      <c r="AG13" s="31">
        <f>(AE13-AB13*AG12)/(AC13-AB13*AF12)</f>
        <v/>
      </c>
      <c r="AH13" s="31">
        <f>AG13-AF13*AH14</f>
        <v/>
      </c>
      <c r="AI13" s="32">
        <f>IF(C13&lt;&gt;0,J13/C13,0)</f>
        <v/>
      </c>
      <c r="AJ13" s="32">
        <f>IF(K13&lt;&gt;0,R13/K13,0)</f>
        <v/>
      </c>
      <c r="AK13" s="32">
        <f>IF(S13&lt;&gt;0,Z13/S13,0)</f>
        <v/>
      </c>
      <c r="AL13" s="32">
        <f>IF(AA13&lt;&gt;0,AH13/AA13,0)</f>
        <v/>
      </c>
      <c r="AM13" s="33">
        <f>J13+R13+Z13+AH13</f>
        <v/>
      </c>
      <c r="AN13" s="33">
        <f>AI13+AJ13+AK13+AL13</f>
        <v/>
      </c>
    </row>
    <row r="14">
      <c r="A14" s="29" t="n">
        <v>10</v>
      </c>
      <c r="B14" s="30">
        <f>IF(A14&lt;=INPUTS!$B$5,"Extraction",IF(A14&lt;=INPUTS!$B$5+INPUTS!$B$6,"Scrub","Strip"))</f>
        <v/>
      </c>
      <c r="C14" s="34">
        <f>IF(A14&lt;=INPUTS!$B$5,INPUTS!$C$18*INPUTS!$B$8^INPUTS!$D$18,IF(A14&lt;=INPUTS!$B$5+INPUTS!$B$6,INPUTS!$C$18*INPUTS!$B$9^INPUTS!$D$18,INPUTS!$C$18*INPUTS!$B$10^INPUTS!$D$18))</f>
        <v/>
      </c>
      <c r="D14" s="34">
        <f>IF(A14=1,0,INPUTS!$B$13)</f>
        <v/>
      </c>
      <c r="E14" s="34">
        <f>IF(A14&gt;INPUTS!$B$5+INPUTS!$B$6,-INPUTS!$B$13-INPUTS!$B$12/C14,IF(A14&gt;INPUTS!$B$5,-INPUTS!$B$13-INPUTS!$B$12*INPUTS!$B$14/C14,-INPUTS!$B$13-(INPUTS!$B$12*INPUTS!$B$14+INPUTS!$B$11)/C14))</f>
        <v/>
      </c>
      <c r="F14" s="34">
        <f>IF(A14&gt;INPUTS!$B$5+INPUTS!$B$6,INPUTS!$B$12/C15,IF(A14&gt;=INPUTS!$B$5,INPUTS!$B$12*INPUTS!$B$14/C15,(INPUTS!$B$12*INPUTS!$B$14+INPUTS!$B$11)/C15))</f>
        <v/>
      </c>
      <c r="G14" s="34">
        <f>IF(A14=INPUTS!$B$5,-INPUTS!$C$25*INPUTS!$B$11,0)</f>
        <v/>
      </c>
      <c r="H14" s="34">
        <f>F14/(E14-D14*H13)</f>
        <v/>
      </c>
      <c r="I14" s="34">
        <f>(G14-D14*I13)/(E14-D14*H13)</f>
        <v/>
      </c>
      <c r="J14" s="34">
        <f>I14-H14*J15</f>
        <v/>
      </c>
      <c r="K14" s="34">
        <f>IF(A14&lt;=INPUTS!$B$5,INPUTS!$C$19*INPUTS!$B$8^INPUTS!$D$19,IF(A14&lt;=INPUTS!$B$5+INPUTS!$B$6,INPUTS!$C$19*INPUTS!$B$9^INPUTS!$D$19,INPUTS!$C$19*INPUTS!$B$10^INPUTS!$D$19))</f>
        <v/>
      </c>
      <c r="L14" s="34">
        <f>IF(A14=1,0,INPUTS!$B$13)</f>
        <v/>
      </c>
      <c r="M14" s="34">
        <f>IF(A14&gt;INPUTS!$B$5+INPUTS!$B$6,-INPUTS!$B$13-INPUTS!$B$12/K14,IF(A14&gt;INPUTS!$B$5,-INPUTS!$B$13-INPUTS!$B$12*INPUTS!$B$14/K14,-INPUTS!$B$13-(INPUTS!$B$12*INPUTS!$B$14+INPUTS!$B$11)/K14))</f>
        <v/>
      </c>
      <c r="N14" s="34">
        <f>IF(A14&gt;INPUTS!$B$5+INPUTS!$B$6,INPUTS!$B$12/K15,IF(A14&gt;=INPUTS!$B$5,INPUTS!$B$12*INPUTS!$B$14/K15,(INPUTS!$B$12*INPUTS!$B$14+INPUTS!$B$11)/K15))</f>
        <v/>
      </c>
      <c r="O14" s="34">
        <f>IF(A14=INPUTS!$B$5,-INPUTS!$C$26*INPUTS!$B$11,0)</f>
        <v/>
      </c>
      <c r="P14" s="34">
        <f>N14/(M14-L14*P13)</f>
        <v/>
      </c>
      <c r="Q14" s="34">
        <f>(O14-L14*Q13)/(M14-L14*P13)</f>
        <v/>
      </c>
      <c r="R14" s="34">
        <f>Q14-P14*R15</f>
        <v/>
      </c>
      <c r="S14" s="34">
        <f>IF(A14&lt;=INPUTS!$B$5,INPUTS!$C$20*INPUTS!$B$8^INPUTS!$D$20,IF(A14&lt;=INPUTS!$B$5+INPUTS!$B$6,INPUTS!$C$20*INPUTS!$B$9^INPUTS!$D$20,INPUTS!$C$20*INPUTS!$B$10^INPUTS!$D$20))</f>
        <v/>
      </c>
      <c r="T14" s="34">
        <f>IF(A14=1,0,INPUTS!$B$13)</f>
        <v/>
      </c>
      <c r="U14" s="34">
        <f>IF(A14&gt;INPUTS!$B$5+INPUTS!$B$6,-INPUTS!$B$13-INPUTS!$B$12/S14,IF(A14&gt;INPUTS!$B$5,-INPUTS!$B$13-INPUTS!$B$12*INPUTS!$B$14/S14,-INPUTS!$B$13-(INPUTS!$B$12*INPUTS!$B$14+INPUTS!$B$11)/S14))</f>
        <v/>
      </c>
      <c r="V14" s="34">
        <f>IF(A14&gt;INPUTS!$B$5+INPUTS!$B$6,INPUTS!$B$12/S15,IF(A14&gt;=INPUTS!$B$5,INPUTS!$B$12*INPUTS!$B$14/S15,(INPUTS!$B$12*INPUTS!$B$14+INPUTS!$B$11)/S15))</f>
        <v/>
      </c>
      <c r="W14" s="34">
        <f>IF(A14=INPUTS!$B$5,-INPUTS!$C$27*INPUTS!$B$11,0)</f>
        <v/>
      </c>
      <c r="X14" s="34">
        <f>V14/(U14-T14*X13)</f>
        <v/>
      </c>
      <c r="Y14" s="34">
        <f>(W14-T14*Y13)/(U14-T14*X13)</f>
        <v/>
      </c>
      <c r="Z14" s="34">
        <f>Y14-X14*Z15</f>
        <v/>
      </c>
      <c r="AA14" s="34">
        <f>IF(A14&lt;=INPUTS!$B$5,INPUTS!$C$21*INPUTS!$B$8^INPUTS!$D$21,IF(A14&lt;=INPUTS!$B$5+INPUTS!$B$6,INPUTS!$C$21*INPUTS!$B$9^INPUTS!$D$21,INPUTS!$C$21*INPUTS!$B$10^INPUTS!$D$21))</f>
        <v/>
      </c>
      <c r="AB14" s="34">
        <f>IF(A14=1,0,INPUTS!$B$13)</f>
        <v/>
      </c>
      <c r="AC14" s="34">
        <f>IF(A14&gt;INPUTS!$B$5+INPUTS!$B$6,-INPUTS!$B$13-INPUTS!$B$12/AA14,IF(A14&gt;INPUTS!$B$5,-INPUTS!$B$13-INPUTS!$B$12*INPUTS!$B$14/AA14,-INPUTS!$B$13-(INPUTS!$B$12*INPUTS!$B$14+INPUTS!$B$11)/AA14))</f>
        <v/>
      </c>
      <c r="AD14" s="34">
        <f>IF(A14&gt;INPUTS!$B$5+INPUTS!$B$6,INPUTS!$B$12/AA15,IF(A14&gt;=INPUTS!$B$5,INPUTS!$B$12*INPUTS!$B$14/AA15,(INPUTS!$B$12*INPUTS!$B$14+INPUTS!$B$11)/AA15))</f>
        <v/>
      </c>
      <c r="AE14" s="34">
        <f>IF(A14=INPUTS!$B$5,-INPUTS!$C$28*INPUTS!$B$11,0)</f>
        <v/>
      </c>
      <c r="AF14" s="34">
        <f>AD14/(AC14-AB14*AF13)</f>
        <v/>
      </c>
      <c r="AG14" s="34">
        <f>(AE14-AB14*AG13)/(AC14-AB14*AF13)</f>
        <v/>
      </c>
      <c r="AH14" s="34">
        <f>AG14-AF14*AH15</f>
        <v/>
      </c>
      <c r="AI14" s="32">
        <f>IF(C14&lt;&gt;0,J14/C14,0)</f>
        <v/>
      </c>
      <c r="AJ14" s="32">
        <f>IF(K14&lt;&gt;0,R14/K14,0)</f>
        <v/>
      </c>
      <c r="AK14" s="32">
        <f>IF(S14&lt;&gt;0,Z14/S14,0)</f>
        <v/>
      </c>
      <c r="AL14" s="32">
        <f>IF(AA14&lt;&gt;0,AH14/AA14,0)</f>
        <v/>
      </c>
      <c r="AM14" s="33">
        <f>J14+R14+Z14+AH14</f>
        <v/>
      </c>
      <c r="AN14" s="33">
        <f>AI14+AJ14+AK14+AL14</f>
        <v/>
      </c>
    </row>
    <row r="15">
      <c r="A15" s="29" t="n">
        <v>11</v>
      </c>
      <c r="B15" s="30">
        <f>IF(A15&lt;=INPUTS!$B$5,"Extraction",IF(A15&lt;=INPUTS!$B$5+INPUTS!$B$6,"Scrub","Strip"))</f>
        <v/>
      </c>
      <c r="C15" s="31">
        <f>IF(A15&lt;=INPUTS!$B$5,INPUTS!$C$18*INPUTS!$B$8^INPUTS!$D$18,IF(A15&lt;=INPUTS!$B$5+INPUTS!$B$6,INPUTS!$C$18*INPUTS!$B$9^INPUTS!$D$18,INPUTS!$C$18*INPUTS!$B$10^INPUTS!$D$18))</f>
        <v/>
      </c>
      <c r="D15" s="31">
        <f>IF(A15=1,0,INPUTS!$B$13)</f>
        <v/>
      </c>
      <c r="E15" s="31">
        <f>IF(A15&gt;INPUTS!$B$5+INPUTS!$B$6,-INPUTS!$B$13-INPUTS!$B$12/C15,IF(A15&gt;INPUTS!$B$5,-INPUTS!$B$13-INPUTS!$B$12*INPUTS!$B$14/C15,-INPUTS!$B$13-(INPUTS!$B$12*INPUTS!$B$14+INPUTS!$B$11)/C15))</f>
        <v/>
      </c>
      <c r="F15" s="31">
        <f>IF(A15&gt;INPUTS!$B$5+INPUTS!$B$6,INPUTS!$B$12/C16,IF(A15&gt;=INPUTS!$B$5,INPUTS!$B$12*INPUTS!$B$14/C16,(INPUTS!$B$12*INPUTS!$B$14+INPUTS!$B$11)/C16))</f>
        <v/>
      </c>
      <c r="G15" s="31">
        <f>IF(A15=INPUTS!$B$5,-INPUTS!$C$25*INPUTS!$B$11,0)</f>
        <v/>
      </c>
      <c r="H15" s="31">
        <f>F15/(E15-D15*H14)</f>
        <v/>
      </c>
      <c r="I15" s="31">
        <f>(G15-D15*I14)/(E15-D15*H14)</f>
        <v/>
      </c>
      <c r="J15" s="31">
        <f>I15-H15*J16</f>
        <v/>
      </c>
      <c r="K15" s="31">
        <f>IF(A15&lt;=INPUTS!$B$5,INPUTS!$C$19*INPUTS!$B$8^INPUTS!$D$19,IF(A15&lt;=INPUTS!$B$5+INPUTS!$B$6,INPUTS!$C$19*INPUTS!$B$9^INPUTS!$D$19,INPUTS!$C$19*INPUTS!$B$10^INPUTS!$D$19))</f>
        <v/>
      </c>
      <c r="L15" s="31">
        <f>IF(A15=1,0,INPUTS!$B$13)</f>
        <v/>
      </c>
      <c r="M15" s="31">
        <f>IF(A15&gt;INPUTS!$B$5+INPUTS!$B$6,-INPUTS!$B$13-INPUTS!$B$12/K15,IF(A15&gt;INPUTS!$B$5,-INPUTS!$B$13-INPUTS!$B$12*INPUTS!$B$14/K15,-INPUTS!$B$13-(INPUTS!$B$12*INPUTS!$B$14+INPUTS!$B$11)/K15))</f>
        <v/>
      </c>
      <c r="N15" s="31">
        <f>IF(A15&gt;INPUTS!$B$5+INPUTS!$B$6,INPUTS!$B$12/K16,IF(A15&gt;=INPUTS!$B$5,INPUTS!$B$12*INPUTS!$B$14/K16,(INPUTS!$B$12*INPUTS!$B$14+INPUTS!$B$11)/K16))</f>
        <v/>
      </c>
      <c r="O15" s="31">
        <f>IF(A15=INPUTS!$B$5,-INPUTS!$C$26*INPUTS!$B$11,0)</f>
        <v/>
      </c>
      <c r="P15" s="31">
        <f>N15/(M15-L15*P14)</f>
        <v/>
      </c>
      <c r="Q15" s="31">
        <f>(O15-L15*Q14)/(M15-L15*P14)</f>
        <v/>
      </c>
      <c r="R15" s="31">
        <f>Q15-P15*R16</f>
        <v/>
      </c>
      <c r="S15" s="31">
        <f>IF(A15&lt;=INPUTS!$B$5,INPUTS!$C$20*INPUTS!$B$8^INPUTS!$D$20,IF(A15&lt;=INPUTS!$B$5+INPUTS!$B$6,INPUTS!$C$20*INPUTS!$B$9^INPUTS!$D$20,INPUTS!$C$20*INPUTS!$B$10^INPUTS!$D$20))</f>
        <v/>
      </c>
      <c r="T15" s="31">
        <f>IF(A15=1,0,INPUTS!$B$13)</f>
        <v/>
      </c>
      <c r="U15" s="31">
        <f>IF(A15&gt;INPUTS!$B$5+INPUTS!$B$6,-INPUTS!$B$13-INPUTS!$B$12/S15,IF(A15&gt;INPUTS!$B$5,-INPUTS!$B$13-INPUTS!$B$12*INPUTS!$B$14/S15,-INPUTS!$B$13-(INPUTS!$B$12*INPUTS!$B$14+INPUTS!$B$11)/S15))</f>
        <v/>
      </c>
      <c r="V15" s="31">
        <f>IF(A15&gt;INPUTS!$B$5+INPUTS!$B$6,INPUTS!$B$12/S16,IF(A15&gt;=INPUTS!$B$5,INPUTS!$B$12*INPUTS!$B$14/S16,(INPUTS!$B$12*INPUTS!$B$14+INPUTS!$B$11)/S16))</f>
        <v/>
      </c>
      <c r="W15" s="31">
        <f>IF(A15=INPUTS!$B$5,-INPUTS!$C$27*INPUTS!$B$11,0)</f>
        <v/>
      </c>
      <c r="X15" s="31">
        <f>V15/(U15-T15*X14)</f>
        <v/>
      </c>
      <c r="Y15" s="31">
        <f>(W15-T15*Y14)/(U15-T15*X14)</f>
        <v/>
      </c>
      <c r="Z15" s="31">
        <f>Y15-X15*Z16</f>
        <v/>
      </c>
      <c r="AA15" s="31">
        <f>IF(A15&lt;=INPUTS!$B$5,INPUTS!$C$21*INPUTS!$B$8^INPUTS!$D$21,IF(A15&lt;=INPUTS!$B$5+INPUTS!$B$6,INPUTS!$C$21*INPUTS!$B$9^INPUTS!$D$21,INPUTS!$C$21*INPUTS!$B$10^INPUTS!$D$21))</f>
        <v/>
      </c>
      <c r="AB15" s="31">
        <f>IF(A15=1,0,INPUTS!$B$13)</f>
        <v/>
      </c>
      <c r="AC15" s="31">
        <f>IF(A15&gt;INPUTS!$B$5+INPUTS!$B$6,-INPUTS!$B$13-INPUTS!$B$12/AA15,IF(A15&gt;INPUTS!$B$5,-INPUTS!$B$13-INPUTS!$B$12*INPUTS!$B$14/AA15,-INPUTS!$B$13-(INPUTS!$B$12*INPUTS!$B$14+INPUTS!$B$11)/AA15))</f>
        <v/>
      </c>
      <c r="AD15" s="31">
        <f>IF(A15&gt;INPUTS!$B$5+INPUTS!$B$6,INPUTS!$B$12/AA16,IF(A15&gt;=INPUTS!$B$5,INPUTS!$B$12*INPUTS!$B$14/AA16,(INPUTS!$B$12*INPUTS!$B$14+INPUTS!$B$11)/AA16))</f>
        <v/>
      </c>
      <c r="AE15" s="31">
        <f>IF(A15=INPUTS!$B$5,-INPUTS!$C$28*INPUTS!$B$11,0)</f>
        <v/>
      </c>
      <c r="AF15" s="31">
        <f>AD15/(AC15-AB15*AF14)</f>
        <v/>
      </c>
      <c r="AG15" s="31">
        <f>(AE15-AB15*AG14)/(AC15-AB15*AF14)</f>
        <v/>
      </c>
      <c r="AH15" s="31">
        <f>AG15-AF15*AH16</f>
        <v/>
      </c>
      <c r="AI15" s="32">
        <f>IF(C15&lt;&gt;0,J15/C15,0)</f>
        <v/>
      </c>
      <c r="AJ15" s="32">
        <f>IF(K15&lt;&gt;0,R15/K15,0)</f>
        <v/>
      </c>
      <c r="AK15" s="32">
        <f>IF(S15&lt;&gt;0,Z15/S15,0)</f>
        <v/>
      </c>
      <c r="AL15" s="32">
        <f>IF(AA15&lt;&gt;0,AH15/AA15,0)</f>
        <v/>
      </c>
      <c r="AM15" s="33">
        <f>J15+R15+Z15+AH15</f>
        <v/>
      </c>
      <c r="AN15" s="33">
        <f>AI15+AJ15+AK15+AL15</f>
        <v/>
      </c>
    </row>
    <row r="16">
      <c r="A16" s="29" t="n">
        <v>12</v>
      </c>
      <c r="B16" s="30">
        <f>IF(A16&lt;=INPUTS!$B$5,"Extraction",IF(A16&lt;=INPUTS!$B$5+INPUTS!$B$6,"Scrub","Strip"))</f>
        <v/>
      </c>
      <c r="C16" s="34">
        <f>IF(A16&lt;=INPUTS!$B$5,INPUTS!$C$18*INPUTS!$B$8^INPUTS!$D$18,IF(A16&lt;=INPUTS!$B$5+INPUTS!$B$6,INPUTS!$C$18*INPUTS!$B$9^INPUTS!$D$18,INPUTS!$C$18*INPUTS!$B$10^INPUTS!$D$18))</f>
        <v/>
      </c>
      <c r="D16" s="34">
        <f>IF(A16=1,0,INPUTS!$B$13)</f>
        <v/>
      </c>
      <c r="E16" s="34">
        <f>IF(A16&gt;INPUTS!$B$5+INPUTS!$B$6,-INPUTS!$B$13-INPUTS!$B$12/C16,IF(A16&gt;INPUTS!$B$5,-INPUTS!$B$13-INPUTS!$B$12*INPUTS!$B$14/C16,-INPUTS!$B$13-(INPUTS!$B$12*INPUTS!$B$14+INPUTS!$B$11)/C16))</f>
        <v/>
      </c>
      <c r="F16" s="34">
        <f>IF(A16&gt;INPUTS!$B$5+INPUTS!$B$6,INPUTS!$B$12/C17,IF(A16&gt;=INPUTS!$B$5,INPUTS!$B$12*INPUTS!$B$14/C17,(INPUTS!$B$12*INPUTS!$B$14+INPUTS!$B$11)/C17))</f>
        <v/>
      </c>
      <c r="G16" s="34">
        <f>IF(A16=INPUTS!$B$5,-INPUTS!$C$25*INPUTS!$B$11,0)</f>
        <v/>
      </c>
      <c r="H16" s="34">
        <f>F16/(E16-D16*H15)</f>
        <v/>
      </c>
      <c r="I16" s="34">
        <f>(G16-D16*I15)/(E16-D16*H15)</f>
        <v/>
      </c>
      <c r="J16" s="34">
        <f>I16-H16*J17</f>
        <v/>
      </c>
      <c r="K16" s="34">
        <f>IF(A16&lt;=INPUTS!$B$5,INPUTS!$C$19*INPUTS!$B$8^INPUTS!$D$19,IF(A16&lt;=INPUTS!$B$5+INPUTS!$B$6,INPUTS!$C$19*INPUTS!$B$9^INPUTS!$D$19,INPUTS!$C$19*INPUTS!$B$10^INPUTS!$D$19))</f>
        <v/>
      </c>
      <c r="L16" s="34">
        <f>IF(A16=1,0,INPUTS!$B$13)</f>
        <v/>
      </c>
      <c r="M16" s="34">
        <f>IF(A16&gt;INPUTS!$B$5+INPUTS!$B$6,-INPUTS!$B$13-INPUTS!$B$12/K16,IF(A16&gt;INPUTS!$B$5,-INPUTS!$B$13-INPUTS!$B$12*INPUTS!$B$14/K16,-INPUTS!$B$13-(INPUTS!$B$12*INPUTS!$B$14+INPUTS!$B$11)/K16))</f>
        <v/>
      </c>
      <c r="N16" s="34">
        <f>IF(A16&gt;INPUTS!$B$5+INPUTS!$B$6,INPUTS!$B$12/K17,IF(A16&gt;=INPUTS!$B$5,INPUTS!$B$12*INPUTS!$B$14/K17,(INPUTS!$B$12*INPUTS!$B$14+INPUTS!$B$11)/K17))</f>
        <v/>
      </c>
      <c r="O16" s="34">
        <f>IF(A16=INPUTS!$B$5,-INPUTS!$C$26*INPUTS!$B$11,0)</f>
        <v/>
      </c>
      <c r="P16" s="34">
        <f>N16/(M16-L16*P15)</f>
        <v/>
      </c>
      <c r="Q16" s="34">
        <f>(O16-L16*Q15)/(M16-L16*P15)</f>
        <v/>
      </c>
      <c r="R16" s="34">
        <f>Q16-P16*R17</f>
        <v/>
      </c>
      <c r="S16" s="34">
        <f>IF(A16&lt;=INPUTS!$B$5,INPUTS!$C$20*INPUTS!$B$8^INPUTS!$D$20,IF(A16&lt;=INPUTS!$B$5+INPUTS!$B$6,INPUTS!$C$20*INPUTS!$B$9^INPUTS!$D$20,INPUTS!$C$20*INPUTS!$B$10^INPUTS!$D$20))</f>
        <v/>
      </c>
      <c r="T16" s="34">
        <f>IF(A16=1,0,INPUTS!$B$13)</f>
        <v/>
      </c>
      <c r="U16" s="34">
        <f>IF(A16&gt;INPUTS!$B$5+INPUTS!$B$6,-INPUTS!$B$13-INPUTS!$B$12/S16,IF(A16&gt;INPUTS!$B$5,-INPUTS!$B$13-INPUTS!$B$12*INPUTS!$B$14/S16,-INPUTS!$B$13-(INPUTS!$B$12*INPUTS!$B$14+INPUTS!$B$11)/S16))</f>
        <v/>
      </c>
      <c r="V16" s="34">
        <f>IF(A16&gt;INPUTS!$B$5+INPUTS!$B$6,INPUTS!$B$12/S17,IF(A16&gt;=INPUTS!$B$5,INPUTS!$B$12*INPUTS!$B$14/S17,(INPUTS!$B$12*INPUTS!$B$14+INPUTS!$B$11)/S17))</f>
        <v/>
      </c>
      <c r="W16" s="34">
        <f>IF(A16=INPUTS!$B$5,-INPUTS!$C$27*INPUTS!$B$11,0)</f>
        <v/>
      </c>
      <c r="X16" s="34">
        <f>V16/(U16-T16*X15)</f>
        <v/>
      </c>
      <c r="Y16" s="34">
        <f>(W16-T16*Y15)/(U16-T16*X15)</f>
        <v/>
      </c>
      <c r="Z16" s="34">
        <f>Y16-X16*Z17</f>
        <v/>
      </c>
      <c r="AA16" s="34">
        <f>IF(A16&lt;=INPUTS!$B$5,INPUTS!$C$21*INPUTS!$B$8^INPUTS!$D$21,IF(A16&lt;=INPUTS!$B$5+INPUTS!$B$6,INPUTS!$C$21*INPUTS!$B$9^INPUTS!$D$21,INPUTS!$C$21*INPUTS!$B$10^INPUTS!$D$21))</f>
        <v/>
      </c>
      <c r="AB16" s="34">
        <f>IF(A16=1,0,INPUTS!$B$13)</f>
        <v/>
      </c>
      <c r="AC16" s="34">
        <f>IF(A16&gt;INPUTS!$B$5+INPUTS!$B$6,-INPUTS!$B$13-INPUTS!$B$12/AA16,IF(A16&gt;INPUTS!$B$5,-INPUTS!$B$13-INPUTS!$B$12*INPUTS!$B$14/AA16,-INPUTS!$B$13-(INPUTS!$B$12*INPUTS!$B$14+INPUTS!$B$11)/AA16))</f>
        <v/>
      </c>
      <c r="AD16" s="34">
        <f>IF(A16&gt;INPUTS!$B$5+INPUTS!$B$6,INPUTS!$B$12/AA17,IF(A16&gt;=INPUTS!$B$5,INPUTS!$B$12*INPUTS!$B$14/AA17,(INPUTS!$B$12*INPUTS!$B$14+INPUTS!$B$11)/AA17))</f>
        <v/>
      </c>
      <c r="AE16" s="34">
        <f>IF(A16=INPUTS!$B$5,-INPUTS!$C$28*INPUTS!$B$11,0)</f>
        <v/>
      </c>
      <c r="AF16" s="34">
        <f>AD16/(AC16-AB16*AF15)</f>
        <v/>
      </c>
      <c r="AG16" s="34">
        <f>(AE16-AB16*AG15)/(AC16-AB16*AF15)</f>
        <v/>
      </c>
      <c r="AH16" s="34">
        <f>AG16-AF16*AH17</f>
        <v/>
      </c>
      <c r="AI16" s="32">
        <f>IF(C16&lt;&gt;0,J16/C16,0)</f>
        <v/>
      </c>
      <c r="AJ16" s="32">
        <f>IF(K16&lt;&gt;0,R16/K16,0)</f>
        <v/>
      </c>
      <c r="AK16" s="32">
        <f>IF(S16&lt;&gt;0,Z16/S16,0)</f>
        <v/>
      </c>
      <c r="AL16" s="32">
        <f>IF(AA16&lt;&gt;0,AH16/AA16,0)</f>
        <v/>
      </c>
      <c r="AM16" s="33">
        <f>J16+R16+Z16+AH16</f>
        <v/>
      </c>
      <c r="AN16" s="33">
        <f>AI16+AJ16+AK16+AL16</f>
        <v/>
      </c>
    </row>
    <row r="17">
      <c r="A17" s="29" t="n">
        <v>13</v>
      </c>
      <c r="B17" s="30">
        <f>IF(A17&lt;=INPUTS!$B$5,"Extraction",IF(A17&lt;=INPUTS!$B$5+INPUTS!$B$6,"Scrub","Strip"))</f>
        <v/>
      </c>
      <c r="C17" s="31">
        <f>IF(A17&lt;=INPUTS!$B$5,INPUTS!$C$18*INPUTS!$B$8^INPUTS!$D$18,IF(A17&lt;=INPUTS!$B$5+INPUTS!$B$6,INPUTS!$C$18*INPUTS!$B$9^INPUTS!$D$18,INPUTS!$C$18*INPUTS!$B$10^INPUTS!$D$18))</f>
        <v/>
      </c>
      <c r="D17" s="31">
        <f>IF(A17=1,0,INPUTS!$B$13)</f>
        <v/>
      </c>
      <c r="E17" s="31">
        <f>IF(A17&gt;INPUTS!$B$5+INPUTS!$B$6,-INPUTS!$B$13-INPUTS!$B$12/C17,IF(A17&gt;INPUTS!$B$5,-INPUTS!$B$13-INPUTS!$B$12*INPUTS!$B$14/C17,-INPUTS!$B$13-(INPUTS!$B$12*INPUTS!$B$14+INPUTS!$B$11)/C17))</f>
        <v/>
      </c>
      <c r="F17" s="31">
        <f>IF(A17&gt;INPUTS!$B$5+INPUTS!$B$6,INPUTS!$B$12/C18,IF(A17&gt;=INPUTS!$B$5,INPUTS!$B$12*INPUTS!$B$14/C18,(INPUTS!$B$12*INPUTS!$B$14+INPUTS!$B$11)/C18))</f>
        <v/>
      </c>
      <c r="G17" s="31">
        <f>IF(A17=INPUTS!$B$5,-INPUTS!$C$25*INPUTS!$B$11,0)</f>
        <v/>
      </c>
      <c r="H17" s="31">
        <f>F17/(E17-D17*H16)</f>
        <v/>
      </c>
      <c r="I17" s="31">
        <f>(G17-D17*I16)/(E17-D17*H16)</f>
        <v/>
      </c>
      <c r="J17" s="31">
        <f>I17-H17*J18</f>
        <v/>
      </c>
      <c r="K17" s="31">
        <f>IF(A17&lt;=INPUTS!$B$5,INPUTS!$C$19*INPUTS!$B$8^INPUTS!$D$19,IF(A17&lt;=INPUTS!$B$5+INPUTS!$B$6,INPUTS!$C$19*INPUTS!$B$9^INPUTS!$D$19,INPUTS!$C$19*INPUTS!$B$10^INPUTS!$D$19))</f>
        <v/>
      </c>
      <c r="L17" s="31">
        <f>IF(A17=1,0,INPUTS!$B$13)</f>
        <v/>
      </c>
      <c r="M17" s="31">
        <f>IF(A17&gt;INPUTS!$B$5+INPUTS!$B$6,-INPUTS!$B$13-INPUTS!$B$12/K17,IF(A17&gt;INPUTS!$B$5,-INPUTS!$B$13-INPUTS!$B$12*INPUTS!$B$14/K17,-INPUTS!$B$13-(INPUTS!$B$12*INPUTS!$B$14+INPUTS!$B$11)/K17))</f>
        <v/>
      </c>
      <c r="N17" s="31">
        <f>IF(A17&gt;INPUTS!$B$5+INPUTS!$B$6,INPUTS!$B$12/K18,IF(A17&gt;=INPUTS!$B$5,INPUTS!$B$12*INPUTS!$B$14/K18,(INPUTS!$B$12*INPUTS!$B$14+INPUTS!$B$11)/K18))</f>
        <v/>
      </c>
      <c r="O17" s="31">
        <f>IF(A17=INPUTS!$B$5,-INPUTS!$C$26*INPUTS!$B$11,0)</f>
        <v/>
      </c>
      <c r="P17" s="31">
        <f>N17/(M17-L17*P16)</f>
        <v/>
      </c>
      <c r="Q17" s="31">
        <f>(O17-L17*Q16)/(M17-L17*P16)</f>
        <v/>
      </c>
      <c r="R17" s="31">
        <f>Q17-P17*R18</f>
        <v/>
      </c>
      <c r="S17" s="31">
        <f>IF(A17&lt;=INPUTS!$B$5,INPUTS!$C$20*INPUTS!$B$8^INPUTS!$D$20,IF(A17&lt;=INPUTS!$B$5+INPUTS!$B$6,INPUTS!$C$20*INPUTS!$B$9^INPUTS!$D$20,INPUTS!$C$20*INPUTS!$B$10^INPUTS!$D$20))</f>
        <v/>
      </c>
      <c r="T17" s="31">
        <f>IF(A17=1,0,INPUTS!$B$13)</f>
        <v/>
      </c>
      <c r="U17" s="31">
        <f>IF(A17&gt;INPUTS!$B$5+INPUTS!$B$6,-INPUTS!$B$13-INPUTS!$B$12/S17,IF(A17&gt;INPUTS!$B$5,-INPUTS!$B$13-INPUTS!$B$12*INPUTS!$B$14/S17,-INPUTS!$B$13-(INPUTS!$B$12*INPUTS!$B$14+INPUTS!$B$11)/S17))</f>
        <v/>
      </c>
      <c r="V17" s="31">
        <f>IF(A17&gt;INPUTS!$B$5+INPUTS!$B$6,INPUTS!$B$12/S18,IF(A17&gt;=INPUTS!$B$5,INPUTS!$B$12*INPUTS!$B$14/S18,(INPUTS!$B$12*INPUTS!$B$14+INPUTS!$B$11)/S18))</f>
        <v/>
      </c>
      <c r="W17" s="31">
        <f>IF(A17=INPUTS!$B$5,-INPUTS!$C$27*INPUTS!$B$11,0)</f>
        <v/>
      </c>
      <c r="X17" s="31">
        <f>V17/(U17-T17*X16)</f>
        <v/>
      </c>
      <c r="Y17" s="31">
        <f>(W17-T17*Y16)/(U17-T17*X16)</f>
        <v/>
      </c>
      <c r="Z17" s="31">
        <f>Y17-X17*Z18</f>
        <v/>
      </c>
      <c r="AA17" s="31">
        <f>IF(A17&lt;=INPUTS!$B$5,INPUTS!$C$21*INPUTS!$B$8^INPUTS!$D$21,IF(A17&lt;=INPUTS!$B$5+INPUTS!$B$6,INPUTS!$C$21*INPUTS!$B$9^INPUTS!$D$21,INPUTS!$C$21*INPUTS!$B$10^INPUTS!$D$21))</f>
        <v/>
      </c>
      <c r="AB17" s="31">
        <f>IF(A17=1,0,INPUTS!$B$13)</f>
        <v/>
      </c>
      <c r="AC17" s="31">
        <f>IF(A17&gt;INPUTS!$B$5+INPUTS!$B$6,-INPUTS!$B$13-INPUTS!$B$12/AA17,IF(A17&gt;INPUTS!$B$5,-INPUTS!$B$13-INPUTS!$B$12*INPUTS!$B$14/AA17,-INPUTS!$B$13-(INPUTS!$B$12*INPUTS!$B$14+INPUTS!$B$11)/AA17))</f>
        <v/>
      </c>
      <c r="AD17" s="31">
        <f>IF(A17&gt;INPUTS!$B$5+INPUTS!$B$6,INPUTS!$B$12/AA18,IF(A17&gt;=INPUTS!$B$5,INPUTS!$B$12*INPUTS!$B$14/AA18,(INPUTS!$B$12*INPUTS!$B$14+INPUTS!$B$11)/AA18))</f>
        <v/>
      </c>
      <c r="AE17" s="31">
        <f>IF(A17=INPUTS!$B$5,-INPUTS!$C$28*INPUTS!$B$11,0)</f>
        <v/>
      </c>
      <c r="AF17" s="31">
        <f>AD17/(AC17-AB17*AF16)</f>
        <v/>
      </c>
      <c r="AG17" s="31">
        <f>(AE17-AB17*AG16)/(AC17-AB17*AF16)</f>
        <v/>
      </c>
      <c r="AH17" s="31">
        <f>AG17-AF17*AH18</f>
        <v/>
      </c>
      <c r="AI17" s="32">
        <f>IF(C17&lt;&gt;0,J17/C17,0)</f>
        <v/>
      </c>
      <c r="AJ17" s="32">
        <f>IF(K17&lt;&gt;0,R17/K17,0)</f>
        <v/>
      </c>
      <c r="AK17" s="32">
        <f>IF(S17&lt;&gt;0,Z17/S17,0)</f>
        <v/>
      </c>
      <c r="AL17" s="32">
        <f>IF(AA17&lt;&gt;0,AH17/AA17,0)</f>
        <v/>
      </c>
      <c r="AM17" s="33">
        <f>J17+R17+Z17+AH17</f>
        <v/>
      </c>
      <c r="AN17" s="33">
        <f>AI17+AJ17+AK17+AL17</f>
        <v/>
      </c>
    </row>
    <row r="18">
      <c r="A18" s="29" t="n">
        <v>14</v>
      </c>
      <c r="B18" s="30">
        <f>IF(A18&lt;=INPUTS!$B$5,"Extraction",IF(A18&lt;=INPUTS!$B$5+INPUTS!$B$6,"Scrub","Strip"))</f>
        <v/>
      </c>
      <c r="C18" s="34">
        <f>IF(A18&lt;=INPUTS!$B$5,INPUTS!$C$18*INPUTS!$B$8^INPUTS!$D$18,IF(A18&lt;=INPUTS!$B$5+INPUTS!$B$6,INPUTS!$C$18*INPUTS!$B$9^INPUTS!$D$18,INPUTS!$C$18*INPUTS!$B$10^INPUTS!$D$18))</f>
        <v/>
      </c>
      <c r="D18" s="34">
        <f>IF(A18=1,0,INPUTS!$B$13)</f>
        <v/>
      </c>
      <c r="E18" s="34">
        <f>IF(A18&gt;INPUTS!$B$5+INPUTS!$B$6,-INPUTS!$B$13-INPUTS!$B$12/C18,IF(A18&gt;INPUTS!$B$5,-INPUTS!$B$13-INPUTS!$B$12*INPUTS!$B$14/C18,-INPUTS!$B$13-(INPUTS!$B$12*INPUTS!$B$14+INPUTS!$B$11)/C18))</f>
        <v/>
      </c>
      <c r="F18" s="34">
        <f>IF(A18&gt;INPUTS!$B$5+INPUTS!$B$6,INPUTS!$B$12/C19,IF(A18&gt;=INPUTS!$B$5,INPUTS!$B$12*INPUTS!$B$14/C19,(INPUTS!$B$12*INPUTS!$B$14+INPUTS!$B$11)/C19))</f>
        <v/>
      </c>
      <c r="G18" s="34">
        <f>IF(A18=INPUTS!$B$5,-INPUTS!$C$25*INPUTS!$B$11,0)</f>
        <v/>
      </c>
      <c r="H18" s="34">
        <f>F18/(E18-D18*H17)</f>
        <v/>
      </c>
      <c r="I18" s="34">
        <f>(G18-D18*I17)/(E18-D18*H17)</f>
        <v/>
      </c>
      <c r="J18" s="34">
        <f>I18-H18*J19</f>
        <v/>
      </c>
      <c r="K18" s="34">
        <f>IF(A18&lt;=INPUTS!$B$5,INPUTS!$C$19*INPUTS!$B$8^INPUTS!$D$19,IF(A18&lt;=INPUTS!$B$5+INPUTS!$B$6,INPUTS!$C$19*INPUTS!$B$9^INPUTS!$D$19,INPUTS!$C$19*INPUTS!$B$10^INPUTS!$D$19))</f>
        <v/>
      </c>
      <c r="L18" s="34">
        <f>IF(A18=1,0,INPUTS!$B$13)</f>
        <v/>
      </c>
      <c r="M18" s="34">
        <f>IF(A18&gt;INPUTS!$B$5+INPUTS!$B$6,-INPUTS!$B$13-INPUTS!$B$12/K18,IF(A18&gt;INPUTS!$B$5,-INPUTS!$B$13-INPUTS!$B$12*INPUTS!$B$14/K18,-INPUTS!$B$13-(INPUTS!$B$12*INPUTS!$B$14+INPUTS!$B$11)/K18))</f>
        <v/>
      </c>
      <c r="N18" s="34">
        <f>IF(A18&gt;INPUTS!$B$5+INPUTS!$B$6,INPUTS!$B$12/K19,IF(A18&gt;=INPUTS!$B$5,INPUTS!$B$12*INPUTS!$B$14/K19,(INPUTS!$B$12*INPUTS!$B$14+INPUTS!$B$11)/K19))</f>
        <v/>
      </c>
      <c r="O18" s="34">
        <f>IF(A18=INPUTS!$B$5,-INPUTS!$C$26*INPUTS!$B$11,0)</f>
        <v/>
      </c>
      <c r="P18" s="34">
        <f>N18/(M18-L18*P17)</f>
        <v/>
      </c>
      <c r="Q18" s="34">
        <f>(O18-L18*Q17)/(M18-L18*P17)</f>
        <v/>
      </c>
      <c r="R18" s="34">
        <f>Q18-P18*R19</f>
        <v/>
      </c>
      <c r="S18" s="34">
        <f>IF(A18&lt;=INPUTS!$B$5,INPUTS!$C$20*INPUTS!$B$8^INPUTS!$D$20,IF(A18&lt;=INPUTS!$B$5+INPUTS!$B$6,INPUTS!$C$20*INPUTS!$B$9^INPUTS!$D$20,INPUTS!$C$20*INPUTS!$B$10^INPUTS!$D$20))</f>
        <v/>
      </c>
      <c r="T18" s="34">
        <f>IF(A18=1,0,INPUTS!$B$13)</f>
        <v/>
      </c>
      <c r="U18" s="34">
        <f>IF(A18&gt;INPUTS!$B$5+INPUTS!$B$6,-INPUTS!$B$13-INPUTS!$B$12/S18,IF(A18&gt;INPUTS!$B$5,-INPUTS!$B$13-INPUTS!$B$12*INPUTS!$B$14/S18,-INPUTS!$B$13-(INPUTS!$B$12*INPUTS!$B$14+INPUTS!$B$11)/S18))</f>
        <v/>
      </c>
      <c r="V18" s="34">
        <f>IF(A18&gt;INPUTS!$B$5+INPUTS!$B$6,INPUTS!$B$12/S19,IF(A18&gt;=INPUTS!$B$5,INPUTS!$B$12*INPUTS!$B$14/S19,(INPUTS!$B$12*INPUTS!$B$14+INPUTS!$B$11)/S19))</f>
        <v/>
      </c>
      <c r="W18" s="34">
        <f>IF(A18=INPUTS!$B$5,-INPUTS!$C$27*INPUTS!$B$11,0)</f>
        <v/>
      </c>
      <c r="X18" s="34">
        <f>V18/(U18-T18*X17)</f>
        <v/>
      </c>
      <c r="Y18" s="34">
        <f>(W18-T18*Y17)/(U18-T18*X17)</f>
        <v/>
      </c>
      <c r="Z18" s="34">
        <f>Y18-X18*Z19</f>
        <v/>
      </c>
      <c r="AA18" s="34">
        <f>IF(A18&lt;=INPUTS!$B$5,INPUTS!$C$21*INPUTS!$B$8^INPUTS!$D$21,IF(A18&lt;=INPUTS!$B$5+INPUTS!$B$6,INPUTS!$C$21*INPUTS!$B$9^INPUTS!$D$21,INPUTS!$C$21*INPUTS!$B$10^INPUTS!$D$21))</f>
        <v/>
      </c>
      <c r="AB18" s="34">
        <f>IF(A18=1,0,INPUTS!$B$13)</f>
        <v/>
      </c>
      <c r="AC18" s="34">
        <f>IF(A18&gt;INPUTS!$B$5+INPUTS!$B$6,-INPUTS!$B$13-INPUTS!$B$12/AA18,IF(A18&gt;INPUTS!$B$5,-INPUTS!$B$13-INPUTS!$B$12*INPUTS!$B$14/AA18,-INPUTS!$B$13-(INPUTS!$B$12*INPUTS!$B$14+INPUTS!$B$11)/AA18))</f>
        <v/>
      </c>
      <c r="AD18" s="34">
        <f>IF(A18&gt;INPUTS!$B$5+INPUTS!$B$6,INPUTS!$B$12/AA19,IF(A18&gt;=INPUTS!$B$5,INPUTS!$B$12*INPUTS!$B$14/AA19,(INPUTS!$B$12*INPUTS!$B$14+INPUTS!$B$11)/AA19))</f>
        <v/>
      </c>
      <c r="AE18" s="34">
        <f>IF(A18=INPUTS!$B$5,-INPUTS!$C$28*INPUTS!$B$11,0)</f>
        <v/>
      </c>
      <c r="AF18" s="34">
        <f>AD18/(AC18-AB18*AF17)</f>
        <v/>
      </c>
      <c r="AG18" s="34">
        <f>(AE18-AB18*AG17)/(AC18-AB18*AF17)</f>
        <v/>
      </c>
      <c r="AH18" s="34">
        <f>AG18-AF18*AH19</f>
        <v/>
      </c>
      <c r="AI18" s="32">
        <f>IF(C18&lt;&gt;0,J18/C18,0)</f>
        <v/>
      </c>
      <c r="AJ18" s="32">
        <f>IF(K18&lt;&gt;0,R18/K18,0)</f>
        <v/>
      </c>
      <c r="AK18" s="32">
        <f>IF(S18&lt;&gt;0,Z18/S18,0)</f>
        <v/>
      </c>
      <c r="AL18" s="32">
        <f>IF(AA18&lt;&gt;0,AH18/AA18,0)</f>
        <v/>
      </c>
      <c r="AM18" s="33">
        <f>J18+R18+Z18+AH18</f>
        <v/>
      </c>
      <c r="AN18" s="33">
        <f>AI18+AJ18+AK18+AL18</f>
        <v/>
      </c>
    </row>
    <row r="19">
      <c r="A19" s="29" t="n">
        <v>15</v>
      </c>
      <c r="B19" s="30">
        <f>IF(A19&lt;=INPUTS!$B$5,"Extraction",IF(A19&lt;=INPUTS!$B$5+INPUTS!$B$6,"Scrub","Strip"))</f>
        <v/>
      </c>
      <c r="C19" s="31">
        <f>IF(A19&lt;=INPUTS!$B$5,INPUTS!$C$18*INPUTS!$B$8^INPUTS!$D$18,IF(A19&lt;=INPUTS!$B$5+INPUTS!$B$6,INPUTS!$C$18*INPUTS!$B$9^INPUTS!$D$18,INPUTS!$C$18*INPUTS!$B$10^INPUTS!$D$18))</f>
        <v/>
      </c>
      <c r="D19" s="31">
        <f>IF(A19=1,0,INPUTS!$B$13)</f>
        <v/>
      </c>
      <c r="E19" s="31">
        <f>IF(A19&gt;INPUTS!$B$5+INPUTS!$B$6,-INPUTS!$B$13-INPUTS!$B$12/C19,IF(A19&gt;INPUTS!$B$5,-INPUTS!$B$13-INPUTS!$B$12*INPUTS!$B$14/C19,-INPUTS!$B$13-(INPUTS!$B$12*INPUTS!$B$14+INPUTS!$B$11)/C19))</f>
        <v/>
      </c>
      <c r="F19" s="31">
        <f>IF(A19&gt;INPUTS!$B$5+INPUTS!$B$6,INPUTS!$B$12/C20,IF(A19&gt;=INPUTS!$B$5,INPUTS!$B$12*INPUTS!$B$14/C20,(INPUTS!$B$12*INPUTS!$B$14+INPUTS!$B$11)/C20))</f>
        <v/>
      </c>
      <c r="G19" s="31">
        <f>IF(A19=INPUTS!$B$5,-INPUTS!$C$25*INPUTS!$B$11,0)</f>
        <v/>
      </c>
      <c r="H19" s="31">
        <f>F19/(E19-D19*H18)</f>
        <v/>
      </c>
      <c r="I19" s="31">
        <f>(G19-D19*I18)/(E19-D19*H18)</f>
        <v/>
      </c>
      <c r="J19" s="31">
        <f>I19-H19*J20</f>
        <v/>
      </c>
      <c r="K19" s="31">
        <f>IF(A19&lt;=INPUTS!$B$5,INPUTS!$C$19*INPUTS!$B$8^INPUTS!$D$19,IF(A19&lt;=INPUTS!$B$5+INPUTS!$B$6,INPUTS!$C$19*INPUTS!$B$9^INPUTS!$D$19,INPUTS!$C$19*INPUTS!$B$10^INPUTS!$D$19))</f>
        <v/>
      </c>
      <c r="L19" s="31">
        <f>IF(A19=1,0,INPUTS!$B$13)</f>
        <v/>
      </c>
      <c r="M19" s="31">
        <f>IF(A19&gt;INPUTS!$B$5+INPUTS!$B$6,-INPUTS!$B$13-INPUTS!$B$12/K19,IF(A19&gt;INPUTS!$B$5,-INPUTS!$B$13-INPUTS!$B$12*INPUTS!$B$14/K19,-INPUTS!$B$13-(INPUTS!$B$12*INPUTS!$B$14+INPUTS!$B$11)/K19))</f>
        <v/>
      </c>
      <c r="N19" s="31">
        <f>IF(A19&gt;INPUTS!$B$5+INPUTS!$B$6,INPUTS!$B$12/K20,IF(A19&gt;=INPUTS!$B$5,INPUTS!$B$12*INPUTS!$B$14/K20,(INPUTS!$B$12*INPUTS!$B$14+INPUTS!$B$11)/K20))</f>
        <v/>
      </c>
      <c r="O19" s="31">
        <f>IF(A19=INPUTS!$B$5,-INPUTS!$C$26*INPUTS!$B$11,0)</f>
        <v/>
      </c>
      <c r="P19" s="31">
        <f>N19/(M19-L19*P18)</f>
        <v/>
      </c>
      <c r="Q19" s="31">
        <f>(O19-L19*Q18)/(M19-L19*P18)</f>
        <v/>
      </c>
      <c r="R19" s="31">
        <f>Q19-P19*R20</f>
        <v/>
      </c>
      <c r="S19" s="31">
        <f>IF(A19&lt;=INPUTS!$B$5,INPUTS!$C$20*INPUTS!$B$8^INPUTS!$D$20,IF(A19&lt;=INPUTS!$B$5+INPUTS!$B$6,INPUTS!$C$20*INPUTS!$B$9^INPUTS!$D$20,INPUTS!$C$20*INPUTS!$B$10^INPUTS!$D$20))</f>
        <v/>
      </c>
      <c r="T19" s="31">
        <f>IF(A19=1,0,INPUTS!$B$13)</f>
        <v/>
      </c>
      <c r="U19" s="31">
        <f>IF(A19&gt;INPUTS!$B$5+INPUTS!$B$6,-INPUTS!$B$13-INPUTS!$B$12/S19,IF(A19&gt;INPUTS!$B$5,-INPUTS!$B$13-INPUTS!$B$12*INPUTS!$B$14/S19,-INPUTS!$B$13-(INPUTS!$B$12*INPUTS!$B$14+INPUTS!$B$11)/S19))</f>
        <v/>
      </c>
      <c r="V19" s="31">
        <f>IF(A19&gt;INPUTS!$B$5+INPUTS!$B$6,INPUTS!$B$12/S20,IF(A19&gt;=INPUTS!$B$5,INPUTS!$B$12*INPUTS!$B$14/S20,(INPUTS!$B$12*INPUTS!$B$14+INPUTS!$B$11)/S20))</f>
        <v/>
      </c>
      <c r="W19" s="31">
        <f>IF(A19=INPUTS!$B$5,-INPUTS!$C$27*INPUTS!$B$11,0)</f>
        <v/>
      </c>
      <c r="X19" s="31">
        <f>V19/(U19-T19*X18)</f>
        <v/>
      </c>
      <c r="Y19" s="31">
        <f>(W19-T19*Y18)/(U19-T19*X18)</f>
        <v/>
      </c>
      <c r="Z19" s="31">
        <f>Y19-X19*Z20</f>
        <v/>
      </c>
      <c r="AA19" s="31">
        <f>IF(A19&lt;=INPUTS!$B$5,INPUTS!$C$21*INPUTS!$B$8^INPUTS!$D$21,IF(A19&lt;=INPUTS!$B$5+INPUTS!$B$6,INPUTS!$C$21*INPUTS!$B$9^INPUTS!$D$21,INPUTS!$C$21*INPUTS!$B$10^INPUTS!$D$21))</f>
        <v/>
      </c>
      <c r="AB19" s="31">
        <f>IF(A19=1,0,INPUTS!$B$13)</f>
        <v/>
      </c>
      <c r="AC19" s="31">
        <f>IF(A19&gt;INPUTS!$B$5+INPUTS!$B$6,-INPUTS!$B$13-INPUTS!$B$12/AA19,IF(A19&gt;INPUTS!$B$5,-INPUTS!$B$13-INPUTS!$B$12*INPUTS!$B$14/AA19,-INPUTS!$B$13-(INPUTS!$B$12*INPUTS!$B$14+INPUTS!$B$11)/AA19))</f>
        <v/>
      </c>
      <c r="AD19" s="31">
        <f>IF(A19&gt;INPUTS!$B$5+INPUTS!$B$6,INPUTS!$B$12/AA20,IF(A19&gt;=INPUTS!$B$5,INPUTS!$B$12*INPUTS!$B$14/AA20,(INPUTS!$B$12*INPUTS!$B$14+INPUTS!$B$11)/AA20))</f>
        <v/>
      </c>
      <c r="AE19" s="31">
        <f>IF(A19=INPUTS!$B$5,-INPUTS!$C$28*INPUTS!$B$11,0)</f>
        <v/>
      </c>
      <c r="AF19" s="31">
        <f>AD19/(AC19-AB19*AF18)</f>
        <v/>
      </c>
      <c r="AG19" s="31">
        <f>(AE19-AB19*AG18)/(AC19-AB19*AF18)</f>
        <v/>
      </c>
      <c r="AH19" s="31">
        <f>AG19-AF19*AH20</f>
        <v/>
      </c>
      <c r="AI19" s="32">
        <f>IF(C19&lt;&gt;0,J19/C19,0)</f>
        <v/>
      </c>
      <c r="AJ19" s="32">
        <f>IF(K19&lt;&gt;0,R19/K19,0)</f>
        <v/>
      </c>
      <c r="AK19" s="32">
        <f>IF(S19&lt;&gt;0,Z19/S19,0)</f>
        <v/>
      </c>
      <c r="AL19" s="32">
        <f>IF(AA19&lt;&gt;0,AH19/AA19,0)</f>
        <v/>
      </c>
      <c r="AM19" s="33">
        <f>J19+R19+Z19+AH19</f>
        <v/>
      </c>
      <c r="AN19" s="33">
        <f>AI19+AJ19+AK19+AL19</f>
        <v/>
      </c>
    </row>
    <row r="20">
      <c r="A20" s="29" t="n">
        <v>16</v>
      </c>
      <c r="B20" s="30">
        <f>IF(A20&lt;=INPUTS!$B$5,"Extraction",IF(A20&lt;=INPUTS!$B$5+INPUTS!$B$6,"Scrub","Strip"))</f>
        <v/>
      </c>
      <c r="C20" s="34">
        <f>IF(A20&lt;=INPUTS!$B$5,INPUTS!$C$18*INPUTS!$B$8^INPUTS!$D$18,IF(A20&lt;=INPUTS!$B$5+INPUTS!$B$6,INPUTS!$C$18*INPUTS!$B$9^INPUTS!$D$18,INPUTS!$C$18*INPUTS!$B$10^INPUTS!$D$18))</f>
        <v/>
      </c>
      <c r="D20" s="34">
        <f>IF(A20=1,0,INPUTS!$B$13)</f>
        <v/>
      </c>
      <c r="E20" s="34">
        <f>IF(A20&gt;INPUTS!$B$5+INPUTS!$B$6,-INPUTS!$B$13-INPUTS!$B$12/C20,IF(A20&gt;INPUTS!$B$5,-INPUTS!$B$13-INPUTS!$B$12*INPUTS!$B$14/C20,-INPUTS!$B$13-(INPUTS!$B$12*INPUTS!$B$14+INPUTS!$B$11)/C20))</f>
        <v/>
      </c>
      <c r="F20" s="34">
        <f>IF(A20&gt;INPUTS!$B$5+INPUTS!$B$6,INPUTS!$B$12/C21,IF(A20&gt;=INPUTS!$B$5,INPUTS!$B$12*INPUTS!$B$14/C21,(INPUTS!$B$12*INPUTS!$B$14+INPUTS!$B$11)/C21))</f>
        <v/>
      </c>
      <c r="G20" s="34">
        <f>IF(A20=INPUTS!$B$5,-INPUTS!$C$25*INPUTS!$B$11,0)</f>
        <v/>
      </c>
      <c r="H20" s="34">
        <f>F20/(E20-D20*H19)</f>
        <v/>
      </c>
      <c r="I20" s="34">
        <f>(G20-D20*I19)/(E20-D20*H19)</f>
        <v/>
      </c>
      <c r="J20" s="34">
        <f>I20-H20*J21</f>
        <v/>
      </c>
      <c r="K20" s="34">
        <f>IF(A20&lt;=INPUTS!$B$5,INPUTS!$C$19*INPUTS!$B$8^INPUTS!$D$19,IF(A20&lt;=INPUTS!$B$5+INPUTS!$B$6,INPUTS!$C$19*INPUTS!$B$9^INPUTS!$D$19,INPUTS!$C$19*INPUTS!$B$10^INPUTS!$D$19))</f>
        <v/>
      </c>
      <c r="L20" s="34">
        <f>IF(A20=1,0,INPUTS!$B$13)</f>
        <v/>
      </c>
      <c r="M20" s="34">
        <f>IF(A20&gt;INPUTS!$B$5+INPUTS!$B$6,-INPUTS!$B$13-INPUTS!$B$12/K20,IF(A20&gt;INPUTS!$B$5,-INPUTS!$B$13-INPUTS!$B$12*INPUTS!$B$14/K20,-INPUTS!$B$13-(INPUTS!$B$12*INPUTS!$B$14+INPUTS!$B$11)/K20))</f>
        <v/>
      </c>
      <c r="N20" s="34">
        <f>IF(A20&gt;INPUTS!$B$5+INPUTS!$B$6,INPUTS!$B$12/K21,IF(A20&gt;=INPUTS!$B$5,INPUTS!$B$12*INPUTS!$B$14/K21,(INPUTS!$B$12*INPUTS!$B$14+INPUTS!$B$11)/K21))</f>
        <v/>
      </c>
      <c r="O20" s="34">
        <f>IF(A20=INPUTS!$B$5,-INPUTS!$C$26*INPUTS!$B$11,0)</f>
        <v/>
      </c>
      <c r="P20" s="34">
        <f>N20/(M20-L20*P19)</f>
        <v/>
      </c>
      <c r="Q20" s="34">
        <f>(O20-L20*Q19)/(M20-L20*P19)</f>
        <v/>
      </c>
      <c r="R20" s="34">
        <f>Q20-P20*R21</f>
        <v/>
      </c>
      <c r="S20" s="34">
        <f>IF(A20&lt;=INPUTS!$B$5,INPUTS!$C$20*INPUTS!$B$8^INPUTS!$D$20,IF(A20&lt;=INPUTS!$B$5+INPUTS!$B$6,INPUTS!$C$20*INPUTS!$B$9^INPUTS!$D$20,INPUTS!$C$20*INPUTS!$B$10^INPUTS!$D$20))</f>
        <v/>
      </c>
      <c r="T20" s="34">
        <f>IF(A20=1,0,INPUTS!$B$13)</f>
        <v/>
      </c>
      <c r="U20" s="34">
        <f>IF(A20&gt;INPUTS!$B$5+INPUTS!$B$6,-INPUTS!$B$13-INPUTS!$B$12/S20,IF(A20&gt;INPUTS!$B$5,-INPUTS!$B$13-INPUTS!$B$12*INPUTS!$B$14/S20,-INPUTS!$B$13-(INPUTS!$B$12*INPUTS!$B$14+INPUTS!$B$11)/S20))</f>
        <v/>
      </c>
      <c r="V20" s="34">
        <f>IF(A20&gt;INPUTS!$B$5+INPUTS!$B$6,INPUTS!$B$12/S21,IF(A20&gt;=INPUTS!$B$5,INPUTS!$B$12*INPUTS!$B$14/S21,(INPUTS!$B$12*INPUTS!$B$14+INPUTS!$B$11)/S21))</f>
        <v/>
      </c>
      <c r="W20" s="34">
        <f>IF(A20=INPUTS!$B$5,-INPUTS!$C$27*INPUTS!$B$11,0)</f>
        <v/>
      </c>
      <c r="X20" s="34">
        <f>V20/(U20-T20*X19)</f>
        <v/>
      </c>
      <c r="Y20" s="34">
        <f>(W20-T20*Y19)/(U20-T20*X19)</f>
        <v/>
      </c>
      <c r="Z20" s="34">
        <f>Y20-X20*Z21</f>
        <v/>
      </c>
      <c r="AA20" s="34">
        <f>IF(A20&lt;=INPUTS!$B$5,INPUTS!$C$21*INPUTS!$B$8^INPUTS!$D$21,IF(A20&lt;=INPUTS!$B$5+INPUTS!$B$6,INPUTS!$C$21*INPUTS!$B$9^INPUTS!$D$21,INPUTS!$C$21*INPUTS!$B$10^INPUTS!$D$21))</f>
        <v/>
      </c>
      <c r="AB20" s="34">
        <f>IF(A20=1,0,INPUTS!$B$13)</f>
        <v/>
      </c>
      <c r="AC20" s="34">
        <f>IF(A20&gt;INPUTS!$B$5+INPUTS!$B$6,-INPUTS!$B$13-INPUTS!$B$12/AA20,IF(A20&gt;INPUTS!$B$5,-INPUTS!$B$13-INPUTS!$B$12*INPUTS!$B$14/AA20,-INPUTS!$B$13-(INPUTS!$B$12*INPUTS!$B$14+INPUTS!$B$11)/AA20))</f>
        <v/>
      </c>
      <c r="AD20" s="34">
        <f>IF(A20&gt;INPUTS!$B$5+INPUTS!$B$6,INPUTS!$B$12/AA21,IF(A20&gt;=INPUTS!$B$5,INPUTS!$B$12*INPUTS!$B$14/AA21,(INPUTS!$B$12*INPUTS!$B$14+INPUTS!$B$11)/AA21))</f>
        <v/>
      </c>
      <c r="AE20" s="34">
        <f>IF(A20=INPUTS!$B$5,-INPUTS!$C$28*INPUTS!$B$11,0)</f>
        <v/>
      </c>
      <c r="AF20" s="34">
        <f>AD20/(AC20-AB20*AF19)</f>
        <v/>
      </c>
      <c r="AG20" s="34">
        <f>(AE20-AB20*AG19)/(AC20-AB20*AF19)</f>
        <v/>
      </c>
      <c r="AH20" s="34">
        <f>AG20-AF20*AH21</f>
        <v/>
      </c>
      <c r="AI20" s="32">
        <f>IF(C20&lt;&gt;0,J20/C20,0)</f>
        <v/>
      </c>
      <c r="AJ20" s="32">
        <f>IF(K20&lt;&gt;0,R20/K20,0)</f>
        <v/>
      </c>
      <c r="AK20" s="32">
        <f>IF(S20&lt;&gt;0,Z20/S20,0)</f>
        <v/>
      </c>
      <c r="AL20" s="32">
        <f>IF(AA20&lt;&gt;0,AH20/AA20,0)</f>
        <v/>
      </c>
      <c r="AM20" s="33">
        <f>J20+R20+Z20+AH20</f>
        <v/>
      </c>
      <c r="AN20" s="33">
        <f>AI20+AJ20+AK20+AL20</f>
        <v/>
      </c>
    </row>
    <row r="21">
      <c r="A21" s="29" t="n">
        <v>17</v>
      </c>
      <c r="B21" s="30">
        <f>IF(A21&lt;=INPUTS!$B$5,"Extraction",IF(A21&lt;=INPUTS!$B$5+INPUTS!$B$6,"Scrub","Strip"))</f>
        <v/>
      </c>
      <c r="C21" s="31">
        <f>IF(A21&lt;=INPUTS!$B$5,INPUTS!$C$18*INPUTS!$B$8^INPUTS!$D$18,IF(A21&lt;=INPUTS!$B$5+INPUTS!$B$6,INPUTS!$C$18*INPUTS!$B$9^INPUTS!$D$18,INPUTS!$C$18*INPUTS!$B$10^INPUTS!$D$18))</f>
        <v/>
      </c>
      <c r="D21" s="31">
        <f>IF(A21=1,0,INPUTS!$B$13)</f>
        <v/>
      </c>
      <c r="E21" s="31">
        <f>IF(A21&gt;INPUTS!$B$5+INPUTS!$B$6,-INPUTS!$B$13-INPUTS!$B$12/C21,IF(A21&gt;INPUTS!$B$5,-INPUTS!$B$13-INPUTS!$B$12*INPUTS!$B$14/C21,-INPUTS!$B$13-(INPUTS!$B$12*INPUTS!$B$14+INPUTS!$B$11)/C21))</f>
        <v/>
      </c>
      <c r="F21" s="31">
        <f>IF(A21&gt;INPUTS!$B$5+INPUTS!$B$6,INPUTS!$B$12/C22,IF(A21&gt;=INPUTS!$B$5,INPUTS!$B$12*INPUTS!$B$14/C22,(INPUTS!$B$12*INPUTS!$B$14+INPUTS!$B$11)/C22))</f>
        <v/>
      </c>
      <c r="G21" s="31">
        <f>IF(A21=INPUTS!$B$5,-INPUTS!$C$25*INPUTS!$B$11,0)</f>
        <v/>
      </c>
      <c r="H21" s="31">
        <f>F21/(E21-D21*H20)</f>
        <v/>
      </c>
      <c r="I21" s="31">
        <f>(G21-D21*I20)/(E21-D21*H20)</f>
        <v/>
      </c>
      <c r="J21" s="31">
        <f>I21-H21*J22</f>
        <v/>
      </c>
      <c r="K21" s="31">
        <f>IF(A21&lt;=INPUTS!$B$5,INPUTS!$C$19*INPUTS!$B$8^INPUTS!$D$19,IF(A21&lt;=INPUTS!$B$5+INPUTS!$B$6,INPUTS!$C$19*INPUTS!$B$9^INPUTS!$D$19,INPUTS!$C$19*INPUTS!$B$10^INPUTS!$D$19))</f>
        <v/>
      </c>
      <c r="L21" s="31">
        <f>IF(A21=1,0,INPUTS!$B$13)</f>
        <v/>
      </c>
      <c r="M21" s="31">
        <f>IF(A21&gt;INPUTS!$B$5+INPUTS!$B$6,-INPUTS!$B$13-INPUTS!$B$12/K21,IF(A21&gt;INPUTS!$B$5,-INPUTS!$B$13-INPUTS!$B$12*INPUTS!$B$14/K21,-INPUTS!$B$13-(INPUTS!$B$12*INPUTS!$B$14+INPUTS!$B$11)/K21))</f>
        <v/>
      </c>
      <c r="N21" s="31">
        <f>IF(A21&gt;INPUTS!$B$5+INPUTS!$B$6,INPUTS!$B$12/K22,IF(A21&gt;=INPUTS!$B$5,INPUTS!$B$12*INPUTS!$B$14/K22,(INPUTS!$B$12*INPUTS!$B$14+INPUTS!$B$11)/K22))</f>
        <v/>
      </c>
      <c r="O21" s="31">
        <f>IF(A21=INPUTS!$B$5,-INPUTS!$C$26*INPUTS!$B$11,0)</f>
        <v/>
      </c>
      <c r="P21" s="31">
        <f>N21/(M21-L21*P20)</f>
        <v/>
      </c>
      <c r="Q21" s="31">
        <f>(O21-L21*Q20)/(M21-L21*P20)</f>
        <v/>
      </c>
      <c r="R21" s="31">
        <f>Q21-P21*R22</f>
        <v/>
      </c>
      <c r="S21" s="31">
        <f>IF(A21&lt;=INPUTS!$B$5,INPUTS!$C$20*INPUTS!$B$8^INPUTS!$D$20,IF(A21&lt;=INPUTS!$B$5+INPUTS!$B$6,INPUTS!$C$20*INPUTS!$B$9^INPUTS!$D$20,INPUTS!$C$20*INPUTS!$B$10^INPUTS!$D$20))</f>
        <v/>
      </c>
      <c r="T21" s="31">
        <f>IF(A21=1,0,INPUTS!$B$13)</f>
        <v/>
      </c>
      <c r="U21" s="31">
        <f>IF(A21&gt;INPUTS!$B$5+INPUTS!$B$6,-INPUTS!$B$13-INPUTS!$B$12/S21,IF(A21&gt;INPUTS!$B$5,-INPUTS!$B$13-INPUTS!$B$12*INPUTS!$B$14/S21,-INPUTS!$B$13-(INPUTS!$B$12*INPUTS!$B$14+INPUTS!$B$11)/S21))</f>
        <v/>
      </c>
      <c r="V21" s="31">
        <f>IF(A21&gt;INPUTS!$B$5+INPUTS!$B$6,INPUTS!$B$12/S22,IF(A21&gt;=INPUTS!$B$5,INPUTS!$B$12*INPUTS!$B$14/S22,(INPUTS!$B$12*INPUTS!$B$14+INPUTS!$B$11)/S22))</f>
        <v/>
      </c>
      <c r="W21" s="31">
        <f>IF(A21=INPUTS!$B$5,-INPUTS!$C$27*INPUTS!$B$11,0)</f>
        <v/>
      </c>
      <c r="X21" s="31">
        <f>V21/(U21-T21*X20)</f>
        <v/>
      </c>
      <c r="Y21" s="31">
        <f>(W21-T21*Y20)/(U21-T21*X20)</f>
        <v/>
      </c>
      <c r="Z21" s="31">
        <f>Y21-X21*Z22</f>
        <v/>
      </c>
      <c r="AA21" s="31">
        <f>IF(A21&lt;=INPUTS!$B$5,INPUTS!$C$21*INPUTS!$B$8^INPUTS!$D$21,IF(A21&lt;=INPUTS!$B$5+INPUTS!$B$6,INPUTS!$C$21*INPUTS!$B$9^INPUTS!$D$21,INPUTS!$C$21*INPUTS!$B$10^INPUTS!$D$21))</f>
        <v/>
      </c>
      <c r="AB21" s="31">
        <f>IF(A21=1,0,INPUTS!$B$13)</f>
        <v/>
      </c>
      <c r="AC21" s="31">
        <f>IF(A21&gt;INPUTS!$B$5+INPUTS!$B$6,-INPUTS!$B$13-INPUTS!$B$12/AA21,IF(A21&gt;INPUTS!$B$5,-INPUTS!$B$13-INPUTS!$B$12*INPUTS!$B$14/AA21,-INPUTS!$B$13-(INPUTS!$B$12*INPUTS!$B$14+INPUTS!$B$11)/AA21))</f>
        <v/>
      </c>
      <c r="AD21" s="31">
        <f>IF(A21&gt;INPUTS!$B$5+INPUTS!$B$6,INPUTS!$B$12/AA22,IF(A21&gt;=INPUTS!$B$5,INPUTS!$B$12*INPUTS!$B$14/AA22,(INPUTS!$B$12*INPUTS!$B$14+INPUTS!$B$11)/AA22))</f>
        <v/>
      </c>
      <c r="AE21" s="31">
        <f>IF(A21=INPUTS!$B$5,-INPUTS!$C$28*INPUTS!$B$11,0)</f>
        <v/>
      </c>
      <c r="AF21" s="31">
        <f>AD21/(AC21-AB21*AF20)</f>
        <v/>
      </c>
      <c r="AG21" s="31">
        <f>(AE21-AB21*AG20)/(AC21-AB21*AF20)</f>
        <v/>
      </c>
      <c r="AH21" s="31">
        <f>AG21-AF21*AH22</f>
        <v/>
      </c>
      <c r="AI21" s="32">
        <f>IF(C21&lt;&gt;0,J21/C21,0)</f>
        <v/>
      </c>
      <c r="AJ21" s="32">
        <f>IF(K21&lt;&gt;0,R21/K21,0)</f>
        <v/>
      </c>
      <c r="AK21" s="32">
        <f>IF(S21&lt;&gt;0,Z21/S21,0)</f>
        <v/>
      </c>
      <c r="AL21" s="32">
        <f>IF(AA21&lt;&gt;0,AH21/AA21,0)</f>
        <v/>
      </c>
      <c r="AM21" s="33">
        <f>J21+R21+Z21+AH21</f>
        <v/>
      </c>
      <c r="AN21" s="33">
        <f>AI21+AJ21+AK21+AL21</f>
        <v/>
      </c>
    </row>
    <row r="22">
      <c r="A22" s="29" t="n">
        <v>18</v>
      </c>
      <c r="B22" s="30">
        <f>IF(A22&lt;=INPUTS!$B$5,"Extraction",IF(A22&lt;=INPUTS!$B$5+INPUTS!$B$6,"Scrub","Strip"))</f>
        <v/>
      </c>
      <c r="C22" s="34">
        <f>IF(A22&lt;=INPUTS!$B$5,INPUTS!$C$18*INPUTS!$B$8^INPUTS!$D$18,IF(A22&lt;=INPUTS!$B$5+INPUTS!$B$6,INPUTS!$C$18*INPUTS!$B$9^INPUTS!$D$18,INPUTS!$C$18*INPUTS!$B$10^INPUTS!$D$18))</f>
        <v/>
      </c>
      <c r="D22" s="34">
        <f>IF(A22=1,0,INPUTS!$B$13)</f>
        <v/>
      </c>
      <c r="E22" s="34">
        <f>IF(A22&gt;INPUTS!$B$5+INPUTS!$B$6,-INPUTS!$B$13-INPUTS!$B$12/C22,IF(A22&gt;INPUTS!$B$5,-INPUTS!$B$13-INPUTS!$B$12*INPUTS!$B$14/C22,-INPUTS!$B$13-(INPUTS!$B$12*INPUTS!$B$14+INPUTS!$B$11)/C22))</f>
        <v/>
      </c>
      <c r="F22" s="34">
        <f>IF(A22&gt;INPUTS!$B$5+INPUTS!$B$6,INPUTS!$B$12/C23,IF(A22&gt;=INPUTS!$B$5,INPUTS!$B$12*INPUTS!$B$14/C23,(INPUTS!$B$12*INPUTS!$B$14+INPUTS!$B$11)/C23))</f>
        <v/>
      </c>
      <c r="G22" s="34">
        <f>IF(A22=INPUTS!$B$5,-INPUTS!$C$25*INPUTS!$B$11,0)</f>
        <v/>
      </c>
      <c r="H22" s="34">
        <f>F22/(E22-D22*H21)</f>
        <v/>
      </c>
      <c r="I22" s="34">
        <f>(G22-D22*I21)/(E22-D22*H21)</f>
        <v/>
      </c>
      <c r="J22" s="34">
        <f>I22-H22*J23</f>
        <v/>
      </c>
      <c r="K22" s="34">
        <f>IF(A22&lt;=INPUTS!$B$5,INPUTS!$C$19*INPUTS!$B$8^INPUTS!$D$19,IF(A22&lt;=INPUTS!$B$5+INPUTS!$B$6,INPUTS!$C$19*INPUTS!$B$9^INPUTS!$D$19,INPUTS!$C$19*INPUTS!$B$10^INPUTS!$D$19))</f>
        <v/>
      </c>
      <c r="L22" s="34">
        <f>IF(A22=1,0,INPUTS!$B$13)</f>
        <v/>
      </c>
      <c r="M22" s="34">
        <f>IF(A22&gt;INPUTS!$B$5+INPUTS!$B$6,-INPUTS!$B$13-INPUTS!$B$12/K22,IF(A22&gt;INPUTS!$B$5,-INPUTS!$B$13-INPUTS!$B$12*INPUTS!$B$14/K22,-INPUTS!$B$13-(INPUTS!$B$12*INPUTS!$B$14+INPUTS!$B$11)/K22))</f>
        <v/>
      </c>
      <c r="N22" s="34">
        <f>IF(A22&gt;INPUTS!$B$5+INPUTS!$B$6,INPUTS!$B$12/K23,IF(A22&gt;=INPUTS!$B$5,INPUTS!$B$12*INPUTS!$B$14/K23,(INPUTS!$B$12*INPUTS!$B$14+INPUTS!$B$11)/K23))</f>
        <v/>
      </c>
      <c r="O22" s="34">
        <f>IF(A22=INPUTS!$B$5,-INPUTS!$C$26*INPUTS!$B$11,0)</f>
        <v/>
      </c>
      <c r="P22" s="34">
        <f>N22/(M22-L22*P21)</f>
        <v/>
      </c>
      <c r="Q22" s="34">
        <f>(O22-L22*Q21)/(M22-L22*P21)</f>
        <v/>
      </c>
      <c r="R22" s="34">
        <f>Q22-P22*R23</f>
        <v/>
      </c>
      <c r="S22" s="34">
        <f>IF(A22&lt;=INPUTS!$B$5,INPUTS!$C$20*INPUTS!$B$8^INPUTS!$D$20,IF(A22&lt;=INPUTS!$B$5+INPUTS!$B$6,INPUTS!$C$20*INPUTS!$B$9^INPUTS!$D$20,INPUTS!$C$20*INPUTS!$B$10^INPUTS!$D$20))</f>
        <v/>
      </c>
      <c r="T22" s="34">
        <f>IF(A22=1,0,INPUTS!$B$13)</f>
        <v/>
      </c>
      <c r="U22" s="34">
        <f>IF(A22&gt;INPUTS!$B$5+INPUTS!$B$6,-INPUTS!$B$13-INPUTS!$B$12/S22,IF(A22&gt;INPUTS!$B$5,-INPUTS!$B$13-INPUTS!$B$12*INPUTS!$B$14/S22,-INPUTS!$B$13-(INPUTS!$B$12*INPUTS!$B$14+INPUTS!$B$11)/S22))</f>
        <v/>
      </c>
      <c r="V22" s="34">
        <f>IF(A22&gt;INPUTS!$B$5+INPUTS!$B$6,INPUTS!$B$12/S23,IF(A22&gt;=INPUTS!$B$5,INPUTS!$B$12*INPUTS!$B$14/S23,(INPUTS!$B$12*INPUTS!$B$14+INPUTS!$B$11)/S23))</f>
        <v/>
      </c>
      <c r="W22" s="34">
        <f>IF(A22=INPUTS!$B$5,-INPUTS!$C$27*INPUTS!$B$11,0)</f>
        <v/>
      </c>
      <c r="X22" s="34">
        <f>V22/(U22-T22*X21)</f>
        <v/>
      </c>
      <c r="Y22" s="34">
        <f>(W22-T22*Y21)/(U22-T22*X21)</f>
        <v/>
      </c>
      <c r="Z22" s="34">
        <f>Y22-X22*Z23</f>
        <v/>
      </c>
      <c r="AA22" s="34">
        <f>IF(A22&lt;=INPUTS!$B$5,INPUTS!$C$21*INPUTS!$B$8^INPUTS!$D$21,IF(A22&lt;=INPUTS!$B$5+INPUTS!$B$6,INPUTS!$C$21*INPUTS!$B$9^INPUTS!$D$21,INPUTS!$C$21*INPUTS!$B$10^INPUTS!$D$21))</f>
        <v/>
      </c>
      <c r="AB22" s="34">
        <f>IF(A22=1,0,INPUTS!$B$13)</f>
        <v/>
      </c>
      <c r="AC22" s="34">
        <f>IF(A22&gt;INPUTS!$B$5+INPUTS!$B$6,-INPUTS!$B$13-INPUTS!$B$12/AA22,IF(A22&gt;INPUTS!$B$5,-INPUTS!$B$13-INPUTS!$B$12*INPUTS!$B$14/AA22,-INPUTS!$B$13-(INPUTS!$B$12*INPUTS!$B$14+INPUTS!$B$11)/AA22))</f>
        <v/>
      </c>
      <c r="AD22" s="34">
        <f>IF(A22&gt;INPUTS!$B$5+INPUTS!$B$6,INPUTS!$B$12/AA23,IF(A22&gt;=INPUTS!$B$5,INPUTS!$B$12*INPUTS!$B$14/AA23,(INPUTS!$B$12*INPUTS!$B$14+INPUTS!$B$11)/AA23))</f>
        <v/>
      </c>
      <c r="AE22" s="34">
        <f>IF(A22=INPUTS!$B$5,-INPUTS!$C$28*INPUTS!$B$11,0)</f>
        <v/>
      </c>
      <c r="AF22" s="34">
        <f>AD22/(AC22-AB22*AF21)</f>
        <v/>
      </c>
      <c r="AG22" s="34">
        <f>(AE22-AB22*AG21)/(AC22-AB22*AF21)</f>
        <v/>
      </c>
      <c r="AH22" s="34">
        <f>AG22-AF22*AH23</f>
        <v/>
      </c>
      <c r="AI22" s="32">
        <f>IF(C22&lt;&gt;0,J22/C22,0)</f>
        <v/>
      </c>
      <c r="AJ22" s="32">
        <f>IF(K22&lt;&gt;0,R22/K22,0)</f>
        <v/>
      </c>
      <c r="AK22" s="32">
        <f>IF(S22&lt;&gt;0,Z22/S22,0)</f>
        <v/>
      </c>
      <c r="AL22" s="32">
        <f>IF(AA22&lt;&gt;0,AH22/AA22,0)</f>
        <v/>
      </c>
      <c r="AM22" s="33">
        <f>J22+R22+Z22+AH22</f>
        <v/>
      </c>
      <c r="AN22" s="33">
        <f>AI22+AJ22+AK22+AL22</f>
        <v/>
      </c>
    </row>
    <row r="23">
      <c r="A23" s="29" t="n">
        <v>19</v>
      </c>
      <c r="B23" s="30">
        <f>IF(A23&lt;=INPUTS!$B$5,"Extraction",IF(A23&lt;=INPUTS!$B$5+INPUTS!$B$6,"Scrub","Strip"))</f>
        <v/>
      </c>
      <c r="C23" s="31">
        <f>IF(A23&lt;=INPUTS!$B$5,INPUTS!$C$18*INPUTS!$B$8^INPUTS!$D$18,IF(A23&lt;=INPUTS!$B$5+INPUTS!$B$6,INPUTS!$C$18*INPUTS!$B$9^INPUTS!$D$18,INPUTS!$C$18*INPUTS!$B$10^INPUTS!$D$18))</f>
        <v/>
      </c>
      <c r="D23" s="31">
        <f>IF(A23=1,0,INPUTS!$B$13)</f>
        <v/>
      </c>
      <c r="E23" s="31">
        <f>IF(A23&gt;INPUTS!$B$5+INPUTS!$B$6,-INPUTS!$B$13-INPUTS!$B$12/C23,IF(A23&gt;INPUTS!$B$5,-INPUTS!$B$13-INPUTS!$B$12*INPUTS!$B$14/C23,-INPUTS!$B$13-(INPUTS!$B$12*INPUTS!$B$14+INPUTS!$B$11)/C23))</f>
        <v/>
      </c>
      <c r="F23" s="31">
        <f>IF(A23&gt;INPUTS!$B$5+INPUTS!$B$6,INPUTS!$B$12/C24,IF(A23&gt;=INPUTS!$B$5,INPUTS!$B$12*INPUTS!$B$14/C24,(INPUTS!$B$12*INPUTS!$B$14+INPUTS!$B$11)/C24))</f>
        <v/>
      </c>
      <c r="G23" s="31">
        <f>IF(A23=INPUTS!$B$5,-INPUTS!$C$25*INPUTS!$B$11,0)</f>
        <v/>
      </c>
      <c r="H23" s="31">
        <f>F23/(E23-D23*H22)</f>
        <v/>
      </c>
      <c r="I23" s="31">
        <f>(G23-D23*I22)/(E23-D23*H22)</f>
        <v/>
      </c>
      <c r="J23" s="31">
        <f>I23-H23*J24</f>
        <v/>
      </c>
      <c r="K23" s="31">
        <f>IF(A23&lt;=INPUTS!$B$5,INPUTS!$C$19*INPUTS!$B$8^INPUTS!$D$19,IF(A23&lt;=INPUTS!$B$5+INPUTS!$B$6,INPUTS!$C$19*INPUTS!$B$9^INPUTS!$D$19,INPUTS!$C$19*INPUTS!$B$10^INPUTS!$D$19))</f>
        <v/>
      </c>
      <c r="L23" s="31">
        <f>IF(A23=1,0,INPUTS!$B$13)</f>
        <v/>
      </c>
      <c r="M23" s="31">
        <f>IF(A23&gt;INPUTS!$B$5+INPUTS!$B$6,-INPUTS!$B$13-INPUTS!$B$12/K23,IF(A23&gt;INPUTS!$B$5,-INPUTS!$B$13-INPUTS!$B$12*INPUTS!$B$14/K23,-INPUTS!$B$13-(INPUTS!$B$12*INPUTS!$B$14+INPUTS!$B$11)/K23))</f>
        <v/>
      </c>
      <c r="N23" s="31">
        <f>IF(A23&gt;INPUTS!$B$5+INPUTS!$B$6,INPUTS!$B$12/K24,IF(A23&gt;=INPUTS!$B$5,INPUTS!$B$12*INPUTS!$B$14/K24,(INPUTS!$B$12*INPUTS!$B$14+INPUTS!$B$11)/K24))</f>
        <v/>
      </c>
      <c r="O23" s="31">
        <f>IF(A23=INPUTS!$B$5,-INPUTS!$C$26*INPUTS!$B$11,0)</f>
        <v/>
      </c>
      <c r="P23" s="31">
        <f>N23/(M23-L23*P22)</f>
        <v/>
      </c>
      <c r="Q23" s="31">
        <f>(O23-L23*Q22)/(M23-L23*P22)</f>
        <v/>
      </c>
      <c r="R23" s="31">
        <f>Q23-P23*R24</f>
        <v/>
      </c>
      <c r="S23" s="31">
        <f>IF(A23&lt;=INPUTS!$B$5,INPUTS!$C$20*INPUTS!$B$8^INPUTS!$D$20,IF(A23&lt;=INPUTS!$B$5+INPUTS!$B$6,INPUTS!$C$20*INPUTS!$B$9^INPUTS!$D$20,INPUTS!$C$20*INPUTS!$B$10^INPUTS!$D$20))</f>
        <v/>
      </c>
      <c r="T23" s="31">
        <f>IF(A23=1,0,INPUTS!$B$13)</f>
        <v/>
      </c>
      <c r="U23" s="31">
        <f>IF(A23&gt;INPUTS!$B$5+INPUTS!$B$6,-INPUTS!$B$13-INPUTS!$B$12/S23,IF(A23&gt;INPUTS!$B$5,-INPUTS!$B$13-INPUTS!$B$12*INPUTS!$B$14/S23,-INPUTS!$B$13-(INPUTS!$B$12*INPUTS!$B$14+INPUTS!$B$11)/S23))</f>
        <v/>
      </c>
      <c r="V23" s="31">
        <f>IF(A23&gt;INPUTS!$B$5+INPUTS!$B$6,INPUTS!$B$12/S24,IF(A23&gt;=INPUTS!$B$5,INPUTS!$B$12*INPUTS!$B$14/S24,(INPUTS!$B$12*INPUTS!$B$14+INPUTS!$B$11)/S24))</f>
        <v/>
      </c>
      <c r="W23" s="31">
        <f>IF(A23=INPUTS!$B$5,-INPUTS!$C$27*INPUTS!$B$11,0)</f>
        <v/>
      </c>
      <c r="X23" s="31">
        <f>V23/(U23-T23*X22)</f>
        <v/>
      </c>
      <c r="Y23" s="31">
        <f>(W23-T23*Y22)/(U23-T23*X22)</f>
        <v/>
      </c>
      <c r="Z23" s="31">
        <f>Y23-X23*Z24</f>
        <v/>
      </c>
      <c r="AA23" s="31">
        <f>IF(A23&lt;=INPUTS!$B$5,INPUTS!$C$21*INPUTS!$B$8^INPUTS!$D$21,IF(A23&lt;=INPUTS!$B$5+INPUTS!$B$6,INPUTS!$C$21*INPUTS!$B$9^INPUTS!$D$21,INPUTS!$C$21*INPUTS!$B$10^INPUTS!$D$21))</f>
        <v/>
      </c>
      <c r="AB23" s="31">
        <f>IF(A23=1,0,INPUTS!$B$13)</f>
        <v/>
      </c>
      <c r="AC23" s="31">
        <f>IF(A23&gt;INPUTS!$B$5+INPUTS!$B$6,-INPUTS!$B$13-INPUTS!$B$12/AA23,IF(A23&gt;INPUTS!$B$5,-INPUTS!$B$13-INPUTS!$B$12*INPUTS!$B$14/AA23,-INPUTS!$B$13-(INPUTS!$B$12*INPUTS!$B$14+INPUTS!$B$11)/AA23))</f>
        <v/>
      </c>
      <c r="AD23" s="31">
        <f>IF(A23&gt;INPUTS!$B$5+INPUTS!$B$6,INPUTS!$B$12/AA24,IF(A23&gt;=INPUTS!$B$5,INPUTS!$B$12*INPUTS!$B$14/AA24,(INPUTS!$B$12*INPUTS!$B$14+INPUTS!$B$11)/AA24))</f>
        <v/>
      </c>
      <c r="AE23" s="31">
        <f>IF(A23=INPUTS!$B$5,-INPUTS!$C$28*INPUTS!$B$11,0)</f>
        <v/>
      </c>
      <c r="AF23" s="31">
        <f>AD23/(AC23-AB23*AF22)</f>
        <v/>
      </c>
      <c r="AG23" s="31">
        <f>(AE23-AB23*AG22)/(AC23-AB23*AF22)</f>
        <v/>
      </c>
      <c r="AH23" s="31">
        <f>AG23-AF23*AH24</f>
        <v/>
      </c>
      <c r="AI23" s="32">
        <f>IF(C23&lt;&gt;0,J23/C23,0)</f>
        <v/>
      </c>
      <c r="AJ23" s="32">
        <f>IF(K23&lt;&gt;0,R23/K23,0)</f>
        <v/>
      </c>
      <c r="AK23" s="32">
        <f>IF(S23&lt;&gt;0,Z23/S23,0)</f>
        <v/>
      </c>
      <c r="AL23" s="32">
        <f>IF(AA23&lt;&gt;0,AH23/AA23,0)</f>
        <v/>
      </c>
      <c r="AM23" s="33">
        <f>J23+R23+Z23+AH23</f>
        <v/>
      </c>
      <c r="AN23" s="33">
        <f>AI23+AJ23+AK23+AL23</f>
        <v/>
      </c>
    </row>
    <row r="24">
      <c r="A24" s="29" t="n">
        <v>20</v>
      </c>
      <c r="B24" s="30">
        <f>IF(A24&lt;=INPUTS!$B$5,"Extraction",IF(A24&lt;=INPUTS!$B$5+INPUTS!$B$6,"Scrub","Strip"))</f>
        <v/>
      </c>
      <c r="C24" s="34">
        <f>IF(A24&lt;=INPUTS!$B$5,INPUTS!$C$18*INPUTS!$B$8^INPUTS!$D$18,IF(A24&lt;=INPUTS!$B$5+INPUTS!$B$6,INPUTS!$C$18*INPUTS!$B$9^INPUTS!$D$18,INPUTS!$C$18*INPUTS!$B$10^INPUTS!$D$18))</f>
        <v/>
      </c>
      <c r="D24" s="34">
        <f>IF(A24=1,0,INPUTS!$B$13)</f>
        <v/>
      </c>
      <c r="E24" s="34">
        <f>IF(A24&gt;INPUTS!$B$5+INPUTS!$B$6,-INPUTS!$B$13-INPUTS!$B$12/C24,IF(A24&gt;INPUTS!$B$5,-INPUTS!$B$13-INPUTS!$B$12*INPUTS!$B$14/C24,-INPUTS!$B$13-(INPUTS!$B$12*INPUTS!$B$14+INPUTS!$B$11)/C24))</f>
        <v/>
      </c>
      <c r="F24" s="34">
        <f>IF(A24&gt;INPUTS!$B$5+INPUTS!$B$6,INPUTS!$B$12/C25,IF(A24&gt;=INPUTS!$B$5,INPUTS!$B$12*INPUTS!$B$14/C25,(INPUTS!$B$12*INPUTS!$B$14+INPUTS!$B$11)/C25))</f>
        <v/>
      </c>
      <c r="G24" s="34">
        <f>IF(A24=INPUTS!$B$5,-INPUTS!$C$25*INPUTS!$B$11,0)</f>
        <v/>
      </c>
      <c r="H24" s="34">
        <f>F24/(E24-D24*H23)</f>
        <v/>
      </c>
      <c r="I24" s="34">
        <f>(G24-D24*I23)/(E24-D24*H23)</f>
        <v/>
      </c>
      <c r="J24" s="34">
        <f>I24-H24*J25</f>
        <v/>
      </c>
      <c r="K24" s="34">
        <f>IF(A24&lt;=INPUTS!$B$5,INPUTS!$C$19*INPUTS!$B$8^INPUTS!$D$19,IF(A24&lt;=INPUTS!$B$5+INPUTS!$B$6,INPUTS!$C$19*INPUTS!$B$9^INPUTS!$D$19,INPUTS!$C$19*INPUTS!$B$10^INPUTS!$D$19))</f>
        <v/>
      </c>
      <c r="L24" s="34">
        <f>IF(A24=1,0,INPUTS!$B$13)</f>
        <v/>
      </c>
      <c r="M24" s="34">
        <f>IF(A24&gt;INPUTS!$B$5+INPUTS!$B$6,-INPUTS!$B$13-INPUTS!$B$12/K24,IF(A24&gt;INPUTS!$B$5,-INPUTS!$B$13-INPUTS!$B$12*INPUTS!$B$14/K24,-INPUTS!$B$13-(INPUTS!$B$12*INPUTS!$B$14+INPUTS!$B$11)/K24))</f>
        <v/>
      </c>
      <c r="N24" s="34">
        <f>IF(A24&gt;INPUTS!$B$5+INPUTS!$B$6,INPUTS!$B$12/K25,IF(A24&gt;=INPUTS!$B$5,INPUTS!$B$12*INPUTS!$B$14/K25,(INPUTS!$B$12*INPUTS!$B$14+INPUTS!$B$11)/K25))</f>
        <v/>
      </c>
      <c r="O24" s="34">
        <f>IF(A24=INPUTS!$B$5,-INPUTS!$C$26*INPUTS!$B$11,0)</f>
        <v/>
      </c>
      <c r="P24" s="34">
        <f>N24/(M24-L24*P23)</f>
        <v/>
      </c>
      <c r="Q24" s="34">
        <f>(O24-L24*Q23)/(M24-L24*P23)</f>
        <v/>
      </c>
      <c r="R24" s="34">
        <f>Q24-P24*R25</f>
        <v/>
      </c>
      <c r="S24" s="34">
        <f>IF(A24&lt;=INPUTS!$B$5,INPUTS!$C$20*INPUTS!$B$8^INPUTS!$D$20,IF(A24&lt;=INPUTS!$B$5+INPUTS!$B$6,INPUTS!$C$20*INPUTS!$B$9^INPUTS!$D$20,INPUTS!$C$20*INPUTS!$B$10^INPUTS!$D$20))</f>
        <v/>
      </c>
      <c r="T24" s="34">
        <f>IF(A24=1,0,INPUTS!$B$13)</f>
        <v/>
      </c>
      <c r="U24" s="34">
        <f>IF(A24&gt;INPUTS!$B$5+INPUTS!$B$6,-INPUTS!$B$13-INPUTS!$B$12/S24,IF(A24&gt;INPUTS!$B$5,-INPUTS!$B$13-INPUTS!$B$12*INPUTS!$B$14/S24,-INPUTS!$B$13-(INPUTS!$B$12*INPUTS!$B$14+INPUTS!$B$11)/S24))</f>
        <v/>
      </c>
      <c r="V24" s="34">
        <f>IF(A24&gt;INPUTS!$B$5+INPUTS!$B$6,INPUTS!$B$12/S25,IF(A24&gt;=INPUTS!$B$5,INPUTS!$B$12*INPUTS!$B$14/S25,(INPUTS!$B$12*INPUTS!$B$14+INPUTS!$B$11)/S25))</f>
        <v/>
      </c>
      <c r="W24" s="34">
        <f>IF(A24=INPUTS!$B$5,-INPUTS!$C$27*INPUTS!$B$11,0)</f>
        <v/>
      </c>
      <c r="X24" s="34">
        <f>V24/(U24-T24*X23)</f>
        <v/>
      </c>
      <c r="Y24" s="34">
        <f>(W24-T24*Y23)/(U24-T24*X23)</f>
        <v/>
      </c>
      <c r="Z24" s="34">
        <f>Y24-X24*Z25</f>
        <v/>
      </c>
      <c r="AA24" s="34">
        <f>IF(A24&lt;=INPUTS!$B$5,INPUTS!$C$21*INPUTS!$B$8^INPUTS!$D$21,IF(A24&lt;=INPUTS!$B$5+INPUTS!$B$6,INPUTS!$C$21*INPUTS!$B$9^INPUTS!$D$21,INPUTS!$C$21*INPUTS!$B$10^INPUTS!$D$21))</f>
        <v/>
      </c>
      <c r="AB24" s="34">
        <f>IF(A24=1,0,INPUTS!$B$13)</f>
        <v/>
      </c>
      <c r="AC24" s="34">
        <f>IF(A24&gt;INPUTS!$B$5+INPUTS!$B$6,-INPUTS!$B$13-INPUTS!$B$12/AA24,IF(A24&gt;INPUTS!$B$5,-INPUTS!$B$13-INPUTS!$B$12*INPUTS!$B$14/AA24,-INPUTS!$B$13-(INPUTS!$B$12*INPUTS!$B$14+INPUTS!$B$11)/AA24))</f>
        <v/>
      </c>
      <c r="AD24" s="34">
        <f>IF(A24&gt;INPUTS!$B$5+INPUTS!$B$6,INPUTS!$B$12/AA25,IF(A24&gt;=INPUTS!$B$5,INPUTS!$B$12*INPUTS!$B$14/AA25,(INPUTS!$B$12*INPUTS!$B$14+INPUTS!$B$11)/AA25))</f>
        <v/>
      </c>
      <c r="AE24" s="34">
        <f>IF(A24=INPUTS!$B$5,-INPUTS!$C$28*INPUTS!$B$11,0)</f>
        <v/>
      </c>
      <c r="AF24" s="34">
        <f>AD24/(AC24-AB24*AF23)</f>
        <v/>
      </c>
      <c r="AG24" s="34">
        <f>(AE24-AB24*AG23)/(AC24-AB24*AF23)</f>
        <v/>
      </c>
      <c r="AH24" s="34">
        <f>AG24-AF24*AH25</f>
        <v/>
      </c>
      <c r="AI24" s="32">
        <f>IF(C24&lt;&gt;0,J24/C24,0)</f>
        <v/>
      </c>
      <c r="AJ24" s="32">
        <f>IF(K24&lt;&gt;0,R24/K24,0)</f>
        <v/>
      </c>
      <c r="AK24" s="32">
        <f>IF(S24&lt;&gt;0,Z24/S24,0)</f>
        <v/>
      </c>
      <c r="AL24" s="32">
        <f>IF(AA24&lt;&gt;0,AH24/AA24,0)</f>
        <v/>
      </c>
      <c r="AM24" s="33">
        <f>J24+R24+Z24+AH24</f>
        <v/>
      </c>
      <c r="AN24" s="33">
        <f>AI24+AJ24+AK24+AL24</f>
        <v/>
      </c>
    </row>
    <row r="25">
      <c r="A25" s="29" t="n">
        <v>21</v>
      </c>
      <c r="B25" s="30">
        <f>IF(A25&lt;=INPUTS!$B$5,"Extraction",IF(A25&lt;=INPUTS!$B$5+INPUTS!$B$6,"Scrub","Strip"))</f>
        <v/>
      </c>
      <c r="C25" s="31">
        <f>IF(A25&lt;=INPUTS!$B$5,INPUTS!$C$18*INPUTS!$B$8^INPUTS!$D$18,IF(A25&lt;=INPUTS!$B$5+INPUTS!$B$6,INPUTS!$C$18*INPUTS!$B$9^INPUTS!$D$18,INPUTS!$C$18*INPUTS!$B$10^INPUTS!$D$18))</f>
        <v/>
      </c>
      <c r="D25" s="31">
        <f>IF(A25=1,0,INPUTS!$B$13)</f>
        <v/>
      </c>
      <c r="E25" s="31">
        <f>IF(A25&gt;INPUTS!$B$5+INPUTS!$B$6,-INPUTS!$B$13-INPUTS!$B$12/C25,IF(A25&gt;INPUTS!$B$5,-INPUTS!$B$13-INPUTS!$B$12*INPUTS!$B$14/C25,-INPUTS!$B$13-(INPUTS!$B$12*INPUTS!$B$14+INPUTS!$B$11)/C25))</f>
        <v/>
      </c>
      <c r="F25" s="31">
        <f>IF(A25&gt;INPUTS!$B$5+INPUTS!$B$6,INPUTS!$B$12/C26,IF(A25&gt;=INPUTS!$B$5,INPUTS!$B$12*INPUTS!$B$14/C26,(INPUTS!$B$12*INPUTS!$B$14+INPUTS!$B$11)/C26))</f>
        <v/>
      </c>
      <c r="G25" s="31">
        <f>IF(A25=INPUTS!$B$5,-INPUTS!$C$25*INPUTS!$B$11,0)</f>
        <v/>
      </c>
      <c r="H25" s="31">
        <f>F25/(E25-D25*H24)</f>
        <v/>
      </c>
      <c r="I25" s="31">
        <f>(G25-D25*I24)/(E25-D25*H24)</f>
        <v/>
      </c>
      <c r="J25" s="31">
        <f>I25-H25*J26</f>
        <v/>
      </c>
      <c r="K25" s="31">
        <f>IF(A25&lt;=INPUTS!$B$5,INPUTS!$C$19*INPUTS!$B$8^INPUTS!$D$19,IF(A25&lt;=INPUTS!$B$5+INPUTS!$B$6,INPUTS!$C$19*INPUTS!$B$9^INPUTS!$D$19,INPUTS!$C$19*INPUTS!$B$10^INPUTS!$D$19))</f>
        <v/>
      </c>
      <c r="L25" s="31">
        <f>IF(A25=1,0,INPUTS!$B$13)</f>
        <v/>
      </c>
      <c r="M25" s="31">
        <f>IF(A25&gt;INPUTS!$B$5+INPUTS!$B$6,-INPUTS!$B$13-INPUTS!$B$12/K25,IF(A25&gt;INPUTS!$B$5,-INPUTS!$B$13-INPUTS!$B$12*INPUTS!$B$14/K25,-INPUTS!$B$13-(INPUTS!$B$12*INPUTS!$B$14+INPUTS!$B$11)/K25))</f>
        <v/>
      </c>
      <c r="N25" s="31">
        <f>IF(A25&gt;INPUTS!$B$5+INPUTS!$B$6,INPUTS!$B$12/K26,IF(A25&gt;=INPUTS!$B$5,INPUTS!$B$12*INPUTS!$B$14/K26,(INPUTS!$B$12*INPUTS!$B$14+INPUTS!$B$11)/K26))</f>
        <v/>
      </c>
      <c r="O25" s="31">
        <f>IF(A25=INPUTS!$B$5,-INPUTS!$C$26*INPUTS!$B$11,0)</f>
        <v/>
      </c>
      <c r="P25" s="31">
        <f>N25/(M25-L25*P24)</f>
        <v/>
      </c>
      <c r="Q25" s="31">
        <f>(O25-L25*Q24)/(M25-L25*P24)</f>
        <v/>
      </c>
      <c r="R25" s="31">
        <f>Q25-P25*R26</f>
        <v/>
      </c>
      <c r="S25" s="31">
        <f>IF(A25&lt;=INPUTS!$B$5,INPUTS!$C$20*INPUTS!$B$8^INPUTS!$D$20,IF(A25&lt;=INPUTS!$B$5+INPUTS!$B$6,INPUTS!$C$20*INPUTS!$B$9^INPUTS!$D$20,INPUTS!$C$20*INPUTS!$B$10^INPUTS!$D$20))</f>
        <v/>
      </c>
      <c r="T25" s="31">
        <f>IF(A25=1,0,INPUTS!$B$13)</f>
        <v/>
      </c>
      <c r="U25" s="31">
        <f>IF(A25&gt;INPUTS!$B$5+INPUTS!$B$6,-INPUTS!$B$13-INPUTS!$B$12/S25,IF(A25&gt;INPUTS!$B$5,-INPUTS!$B$13-INPUTS!$B$12*INPUTS!$B$14/S25,-INPUTS!$B$13-(INPUTS!$B$12*INPUTS!$B$14+INPUTS!$B$11)/S25))</f>
        <v/>
      </c>
      <c r="V25" s="31">
        <f>IF(A25&gt;INPUTS!$B$5+INPUTS!$B$6,INPUTS!$B$12/S26,IF(A25&gt;=INPUTS!$B$5,INPUTS!$B$12*INPUTS!$B$14/S26,(INPUTS!$B$12*INPUTS!$B$14+INPUTS!$B$11)/S26))</f>
        <v/>
      </c>
      <c r="W25" s="31">
        <f>IF(A25=INPUTS!$B$5,-INPUTS!$C$27*INPUTS!$B$11,0)</f>
        <v/>
      </c>
      <c r="X25" s="31">
        <f>V25/(U25-T25*X24)</f>
        <v/>
      </c>
      <c r="Y25" s="31">
        <f>(W25-T25*Y24)/(U25-T25*X24)</f>
        <v/>
      </c>
      <c r="Z25" s="31">
        <f>Y25-X25*Z26</f>
        <v/>
      </c>
      <c r="AA25" s="31">
        <f>IF(A25&lt;=INPUTS!$B$5,INPUTS!$C$21*INPUTS!$B$8^INPUTS!$D$21,IF(A25&lt;=INPUTS!$B$5+INPUTS!$B$6,INPUTS!$C$21*INPUTS!$B$9^INPUTS!$D$21,INPUTS!$C$21*INPUTS!$B$10^INPUTS!$D$21))</f>
        <v/>
      </c>
      <c r="AB25" s="31">
        <f>IF(A25=1,0,INPUTS!$B$13)</f>
        <v/>
      </c>
      <c r="AC25" s="31">
        <f>IF(A25&gt;INPUTS!$B$5+INPUTS!$B$6,-INPUTS!$B$13-INPUTS!$B$12/AA25,IF(A25&gt;INPUTS!$B$5,-INPUTS!$B$13-INPUTS!$B$12*INPUTS!$B$14/AA25,-INPUTS!$B$13-(INPUTS!$B$12*INPUTS!$B$14+INPUTS!$B$11)/AA25))</f>
        <v/>
      </c>
      <c r="AD25" s="31">
        <f>IF(A25&gt;INPUTS!$B$5+INPUTS!$B$6,INPUTS!$B$12/AA26,IF(A25&gt;=INPUTS!$B$5,INPUTS!$B$12*INPUTS!$B$14/AA26,(INPUTS!$B$12*INPUTS!$B$14+INPUTS!$B$11)/AA26))</f>
        <v/>
      </c>
      <c r="AE25" s="31">
        <f>IF(A25=INPUTS!$B$5,-INPUTS!$C$28*INPUTS!$B$11,0)</f>
        <v/>
      </c>
      <c r="AF25" s="31">
        <f>AD25/(AC25-AB25*AF24)</f>
        <v/>
      </c>
      <c r="AG25" s="31">
        <f>(AE25-AB25*AG24)/(AC25-AB25*AF24)</f>
        <v/>
      </c>
      <c r="AH25" s="31">
        <f>AG25-AF25*AH26</f>
        <v/>
      </c>
      <c r="AI25" s="32">
        <f>IF(C25&lt;&gt;0,J25/C25,0)</f>
        <v/>
      </c>
      <c r="AJ25" s="32">
        <f>IF(K25&lt;&gt;0,R25/K25,0)</f>
        <v/>
      </c>
      <c r="AK25" s="32">
        <f>IF(S25&lt;&gt;0,Z25/S25,0)</f>
        <v/>
      </c>
      <c r="AL25" s="32">
        <f>IF(AA25&lt;&gt;0,AH25/AA25,0)</f>
        <v/>
      </c>
      <c r="AM25" s="33">
        <f>J25+R25+Z25+AH25</f>
        <v/>
      </c>
      <c r="AN25" s="33">
        <f>AI25+AJ25+AK25+AL25</f>
        <v/>
      </c>
    </row>
    <row r="26">
      <c r="A26" s="29" t="n">
        <v>22</v>
      </c>
      <c r="B26" s="30">
        <f>IF(A26&lt;=INPUTS!$B$5,"Extraction",IF(A26&lt;=INPUTS!$B$5+INPUTS!$B$6,"Scrub","Strip"))</f>
        <v/>
      </c>
      <c r="C26" s="34">
        <f>IF(A26&lt;=INPUTS!$B$5,INPUTS!$C$18*INPUTS!$B$8^INPUTS!$D$18,IF(A26&lt;=INPUTS!$B$5+INPUTS!$B$6,INPUTS!$C$18*INPUTS!$B$9^INPUTS!$D$18,INPUTS!$C$18*INPUTS!$B$10^INPUTS!$D$18))</f>
        <v/>
      </c>
      <c r="D26" s="34">
        <f>IF(A26=1,0,INPUTS!$B$13)</f>
        <v/>
      </c>
      <c r="E26" s="34">
        <f>IF(A26&gt;INPUTS!$B$5+INPUTS!$B$6,-INPUTS!$B$13-INPUTS!$B$12/C26,IF(A26&gt;INPUTS!$B$5,-INPUTS!$B$13-INPUTS!$B$12*INPUTS!$B$14/C26,-INPUTS!$B$13-(INPUTS!$B$12*INPUTS!$B$14+INPUTS!$B$11)/C26))</f>
        <v/>
      </c>
      <c r="F26" s="34">
        <f>IF(A26&gt;INPUTS!$B$5+INPUTS!$B$6,INPUTS!$B$12/C27,IF(A26&gt;=INPUTS!$B$5,INPUTS!$B$12*INPUTS!$B$14/C27,(INPUTS!$B$12*INPUTS!$B$14+INPUTS!$B$11)/C27))</f>
        <v/>
      </c>
      <c r="G26" s="34">
        <f>IF(A26=INPUTS!$B$5,-INPUTS!$C$25*INPUTS!$B$11,0)</f>
        <v/>
      </c>
      <c r="H26" s="34">
        <f>F26/(E26-D26*H25)</f>
        <v/>
      </c>
      <c r="I26" s="34">
        <f>(G26-D26*I25)/(E26-D26*H25)</f>
        <v/>
      </c>
      <c r="J26" s="34">
        <f>I26-H26*J27</f>
        <v/>
      </c>
      <c r="K26" s="34">
        <f>IF(A26&lt;=INPUTS!$B$5,INPUTS!$C$19*INPUTS!$B$8^INPUTS!$D$19,IF(A26&lt;=INPUTS!$B$5+INPUTS!$B$6,INPUTS!$C$19*INPUTS!$B$9^INPUTS!$D$19,INPUTS!$C$19*INPUTS!$B$10^INPUTS!$D$19))</f>
        <v/>
      </c>
      <c r="L26" s="34">
        <f>IF(A26=1,0,INPUTS!$B$13)</f>
        <v/>
      </c>
      <c r="M26" s="34">
        <f>IF(A26&gt;INPUTS!$B$5+INPUTS!$B$6,-INPUTS!$B$13-INPUTS!$B$12/K26,IF(A26&gt;INPUTS!$B$5,-INPUTS!$B$13-INPUTS!$B$12*INPUTS!$B$14/K26,-INPUTS!$B$13-(INPUTS!$B$12*INPUTS!$B$14+INPUTS!$B$11)/K26))</f>
        <v/>
      </c>
      <c r="N26" s="34">
        <f>IF(A26&gt;INPUTS!$B$5+INPUTS!$B$6,INPUTS!$B$12/K27,IF(A26&gt;=INPUTS!$B$5,INPUTS!$B$12*INPUTS!$B$14/K27,(INPUTS!$B$12*INPUTS!$B$14+INPUTS!$B$11)/K27))</f>
        <v/>
      </c>
      <c r="O26" s="34">
        <f>IF(A26=INPUTS!$B$5,-INPUTS!$C$26*INPUTS!$B$11,0)</f>
        <v/>
      </c>
      <c r="P26" s="34">
        <f>N26/(M26-L26*P25)</f>
        <v/>
      </c>
      <c r="Q26" s="34">
        <f>(O26-L26*Q25)/(M26-L26*P25)</f>
        <v/>
      </c>
      <c r="R26" s="34">
        <f>Q26-P26*R27</f>
        <v/>
      </c>
      <c r="S26" s="34">
        <f>IF(A26&lt;=INPUTS!$B$5,INPUTS!$C$20*INPUTS!$B$8^INPUTS!$D$20,IF(A26&lt;=INPUTS!$B$5+INPUTS!$B$6,INPUTS!$C$20*INPUTS!$B$9^INPUTS!$D$20,INPUTS!$C$20*INPUTS!$B$10^INPUTS!$D$20))</f>
        <v/>
      </c>
      <c r="T26" s="34">
        <f>IF(A26=1,0,INPUTS!$B$13)</f>
        <v/>
      </c>
      <c r="U26" s="34">
        <f>IF(A26&gt;INPUTS!$B$5+INPUTS!$B$6,-INPUTS!$B$13-INPUTS!$B$12/S26,IF(A26&gt;INPUTS!$B$5,-INPUTS!$B$13-INPUTS!$B$12*INPUTS!$B$14/S26,-INPUTS!$B$13-(INPUTS!$B$12*INPUTS!$B$14+INPUTS!$B$11)/S26))</f>
        <v/>
      </c>
      <c r="V26" s="34">
        <f>IF(A26&gt;INPUTS!$B$5+INPUTS!$B$6,INPUTS!$B$12/S27,IF(A26&gt;=INPUTS!$B$5,INPUTS!$B$12*INPUTS!$B$14/S27,(INPUTS!$B$12*INPUTS!$B$14+INPUTS!$B$11)/S27))</f>
        <v/>
      </c>
      <c r="W26" s="34">
        <f>IF(A26=INPUTS!$B$5,-INPUTS!$C$27*INPUTS!$B$11,0)</f>
        <v/>
      </c>
      <c r="X26" s="34">
        <f>V26/(U26-T26*X25)</f>
        <v/>
      </c>
      <c r="Y26" s="34">
        <f>(W26-T26*Y25)/(U26-T26*X25)</f>
        <v/>
      </c>
      <c r="Z26" s="34">
        <f>Y26-X26*Z27</f>
        <v/>
      </c>
      <c r="AA26" s="34">
        <f>IF(A26&lt;=INPUTS!$B$5,INPUTS!$C$21*INPUTS!$B$8^INPUTS!$D$21,IF(A26&lt;=INPUTS!$B$5+INPUTS!$B$6,INPUTS!$C$21*INPUTS!$B$9^INPUTS!$D$21,INPUTS!$C$21*INPUTS!$B$10^INPUTS!$D$21))</f>
        <v/>
      </c>
      <c r="AB26" s="34">
        <f>IF(A26=1,0,INPUTS!$B$13)</f>
        <v/>
      </c>
      <c r="AC26" s="34">
        <f>IF(A26&gt;INPUTS!$B$5+INPUTS!$B$6,-INPUTS!$B$13-INPUTS!$B$12/AA26,IF(A26&gt;INPUTS!$B$5,-INPUTS!$B$13-INPUTS!$B$12*INPUTS!$B$14/AA26,-INPUTS!$B$13-(INPUTS!$B$12*INPUTS!$B$14+INPUTS!$B$11)/AA26))</f>
        <v/>
      </c>
      <c r="AD26" s="34">
        <f>IF(A26&gt;INPUTS!$B$5+INPUTS!$B$6,INPUTS!$B$12/AA27,IF(A26&gt;=INPUTS!$B$5,INPUTS!$B$12*INPUTS!$B$14/AA27,(INPUTS!$B$12*INPUTS!$B$14+INPUTS!$B$11)/AA27))</f>
        <v/>
      </c>
      <c r="AE26" s="34">
        <f>IF(A26=INPUTS!$B$5,-INPUTS!$C$28*INPUTS!$B$11,0)</f>
        <v/>
      </c>
      <c r="AF26" s="34">
        <f>AD26/(AC26-AB26*AF25)</f>
        <v/>
      </c>
      <c r="AG26" s="34">
        <f>(AE26-AB26*AG25)/(AC26-AB26*AF25)</f>
        <v/>
      </c>
      <c r="AH26" s="34">
        <f>AG26-AF26*AH27</f>
        <v/>
      </c>
      <c r="AI26" s="32">
        <f>IF(C26&lt;&gt;0,J26/C26,0)</f>
        <v/>
      </c>
      <c r="AJ26" s="32">
        <f>IF(K26&lt;&gt;0,R26/K26,0)</f>
        <v/>
      </c>
      <c r="AK26" s="32">
        <f>IF(S26&lt;&gt;0,Z26/S26,0)</f>
        <v/>
      </c>
      <c r="AL26" s="32">
        <f>IF(AA26&lt;&gt;0,AH26/AA26,0)</f>
        <v/>
      </c>
      <c r="AM26" s="33">
        <f>J26+R26+Z26+AH26</f>
        <v/>
      </c>
      <c r="AN26" s="33">
        <f>AI26+AJ26+AK26+AL26</f>
        <v/>
      </c>
    </row>
    <row r="27">
      <c r="A27" s="29" t="n">
        <v>23</v>
      </c>
      <c r="B27" s="30">
        <f>IF(A27&lt;=INPUTS!$B$5,"Extraction",IF(A27&lt;=INPUTS!$B$5+INPUTS!$B$6,"Scrub","Strip"))</f>
        <v/>
      </c>
      <c r="C27" s="31">
        <f>IF(A27&lt;=INPUTS!$B$5,INPUTS!$C$18*INPUTS!$B$8^INPUTS!$D$18,IF(A27&lt;=INPUTS!$B$5+INPUTS!$B$6,INPUTS!$C$18*INPUTS!$B$9^INPUTS!$D$18,INPUTS!$C$18*INPUTS!$B$10^INPUTS!$D$18))</f>
        <v/>
      </c>
      <c r="D27" s="31">
        <f>IF(A27=1,0,INPUTS!$B$13)</f>
        <v/>
      </c>
      <c r="E27" s="31">
        <f>IF(A27&gt;INPUTS!$B$5+INPUTS!$B$6,-INPUTS!$B$13-INPUTS!$B$12/C27,IF(A27&gt;INPUTS!$B$5,-INPUTS!$B$13-INPUTS!$B$12*INPUTS!$B$14/C27,-INPUTS!$B$13-(INPUTS!$B$12*INPUTS!$B$14+INPUTS!$B$11)/C27))</f>
        <v/>
      </c>
      <c r="F27" s="31">
        <f>IF(A27&gt;INPUTS!$B$5+INPUTS!$B$6,INPUTS!$B$12/C28,IF(A27&gt;=INPUTS!$B$5,INPUTS!$B$12*INPUTS!$B$14/C28,(INPUTS!$B$12*INPUTS!$B$14+INPUTS!$B$11)/C28))</f>
        <v/>
      </c>
      <c r="G27" s="31">
        <f>IF(A27=INPUTS!$B$5,-INPUTS!$C$25*INPUTS!$B$11,0)</f>
        <v/>
      </c>
      <c r="H27" s="31">
        <f>F27/(E27-D27*H26)</f>
        <v/>
      </c>
      <c r="I27" s="31">
        <f>(G27-D27*I26)/(E27-D27*H26)</f>
        <v/>
      </c>
      <c r="J27" s="31">
        <f>I27-H27*J28</f>
        <v/>
      </c>
      <c r="K27" s="31">
        <f>IF(A27&lt;=INPUTS!$B$5,INPUTS!$C$19*INPUTS!$B$8^INPUTS!$D$19,IF(A27&lt;=INPUTS!$B$5+INPUTS!$B$6,INPUTS!$C$19*INPUTS!$B$9^INPUTS!$D$19,INPUTS!$C$19*INPUTS!$B$10^INPUTS!$D$19))</f>
        <v/>
      </c>
      <c r="L27" s="31">
        <f>IF(A27=1,0,INPUTS!$B$13)</f>
        <v/>
      </c>
      <c r="M27" s="31">
        <f>IF(A27&gt;INPUTS!$B$5+INPUTS!$B$6,-INPUTS!$B$13-INPUTS!$B$12/K27,IF(A27&gt;INPUTS!$B$5,-INPUTS!$B$13-INPUTS!$B$12*INPUTS!$B$14/K27,-INPUTS!$B$13-(INPUTS!$B$12*INPUTS!$B$14+INPUTS!$B$11)/K27))</f>
        <v/>
      </c>
      <c r="N27" s="31">
        <f>IF(A27&gt;INPUTS!$B$5+INPUTS!$B$6,INPUTS!$B$12/K28,IF(A27&gt;=INPUTS!$B$5,INPUTS!$B$12*INPUTS!$B$14/K28,(INPUTS!$B$12*INPUTS!$B$14+INPUTS!$B$11)/K28))</f>
        <v/>
      </c>
      <c r="O27" s="31">
        <f>IF(A27=INPUTS!$B$5,-INPUTS!$C$26*INPUTS!$B$11,0)</f>
        <v/>
      </c>
      <c r="P27" s="31">
        <f>N27/(M27-L27*P26)</f>
        <v/>
      </c>
      <c r="Q27" s="31">
        <f>(O27-L27*Q26)/(M27-L27*P26)</f>
        <v/>
      </c>
      <c r="R27" s="31">
        <f>Q27-P27*R28</f>
        <v/>
      </c>
      <c r="S27" s="31">
        <f>IF(A27&lt;=INPUTS!$B$5,INPUTS!$C$20*INPUTS!$B$8^INPUTS!$D$20,IF(A27&lt;=INPUTS!$B$5+INPUTS!$B$6,INPUTS!$C$20*INPUTS!$B$9^INPUTS!$D$20,INPUTS!$C$20*INPUTS!$B$10^INPUTS!$D$20))</f>
        <v/>
      </c>
      <c r="T27" s="31">
        <f>IF(A27=1,0,INPUTS!$B$13)</f>
        <v/>
      </c>
      <c r="U27" s="31">
        <f>IF(A27&gt;INPUTS!$B$5+INPUTS!$B$6,-INPUTS!$B$13-INPUTS!$B$12/S27,IF(A27&gt;INPUTS!$B$5,-INPUTS!$B$13-INPUTS!$B$12*INPUTS!$B$14/S27,-INPUTS!$B$13-(INPUTS!$B$12*INPUTS!$B$14+INPUTS!$B$11)/S27))</f>
        <v/>
      </c>
      <c r="V27" s="31">
        <f>IF(A27&gt;INPUTS!$B$5+INPUTS!$B$6,INPUTS!$B$12/S28,IF(A27&gt;=INPUTS!$B$5,INPUTS!$B$12*INPUTS!$B$14/S28,(INPUTS!$B$12*INPUTS!$B$14+INPUTS!$B$11)/S28))</f>
        <v/>
      </c>
      <c r="W27" s="31">
        <f>IF(A27=INPUTS!$B$5,-INPUTS!$C$27*INPUTS!$B$11,0)</f>
        <v/>
      </c>
      <c r="X27" s="31">
        <f>V27/(U27-T27*X26)</f>
        <v/>
      </c>
      <c r="Y27" s="31">
        <f>(W27-T27*Y26)/(U27-T27*X26)</f>
        <v/>
      </c>
      <c r="Z27" s="31">
        <f>Y27-X27*Z28</f>
        <v/>
      </c>
      <c r="AA27" s="31">
        <f>IF(A27&lt;=INPUTS!$B$5,INPUTS!$C$21*INPUTS!$B$8^INPUTS!$D$21,IF(A27&lt;=INPUTS!$B$5+INPUTS!$B$6,INPUTS!$C$21*INPUTS!$B$9^INPUTS!$D$21,INPUTS!$C$21*INPUTS!$B$10^INPUTS!$D$21))</f>
        <v/>
      </c>
      <c r="AB27" s="31">
        <f>IF(A27=1,0,INPUTS!$B$13)</f>
        <v/>
      </c>
      <c r="AC27" s="31">
        <f>IF(A27&gt;INPUTS!$B$5+INPUTS!$B$6,-INPUTS!$B$13-INPUTS!$B$12/AA27,IF(A27&gt;INPUTS!$B$5,-INPUTS!$B$13-INPUTS!$B$12*INPUTS!$B$14/AA27,-INPUTS!$B$13-(INPUTS!$B$12*INPUTS!$B$14+INPUTS!$B$11)/AA27))</f>
        <v/>
      </c>
      <c r="AD27" s="31">
        <f>IF(A27&gt;INPUTS!$B$5+INPUTS!$B$6,INPUTS!$B$12/AA28,IF(A27&gt;=INPUTS!$B$5,INPUTS!$B$12*INPUTS!$B$14/AA28,(INPUTS!$B$12*INPUTS!$B$14+INPUTS!$B$11)/AA28))</f>
        <v/>
      </c>
      <c r="AE27" s="31">
        <f>IF(A27=INPUTS!$B$5,-INPUTS!$C$28*INPUTS!$B$11,0)</f>
        <v/>
      </c>
      <c r="AF27" s="31">
        <f>AD27/(AC27-AB27*AF26)</f>
        <v/>
      </c>
      <c r="AG27" s="31">
        <f>(AE27-AB27*AG26)/(AC27-AB27*AF26)</f>
        <v/>
      </c>
      <c r="AH27" s="31">
        <f>AG27-AF27*AH28</f>
        <v/>
      </c>
      <c r="AI27" s="32">
        <f>IF(C27&lt;&gt;0,J27/C27,0)</f>
        <v/>
      </c>
      <c r="AJ27" s="32">
        <f>IF(K27&lt;&gt;0,R27/K27,0)</f>
        <v/>
      </c>
      <c r="AK27" s="32">
        <f>IF(S27&lt;&gt;0,Z27/S27,0)</f>
        <v/>
      </c>
      <c r="AL27" s="32">
        <f>IF(AA27&lt;&gt;0,AH27/AA27,0)</f>
        <v/>
      </c>
      <c r="AM27" s="33">
        <f>J27+R27+Z27+AH27</f>
        <v/>
      </c>
      <c r="AN27" s="33">
        <f>AI27+AJ27+AK27+AL27</f>
        <v/>
      </c>
    </row>
    <row r="28">
      <c r="A28" s="29" t="n">
        <v>24</v>
      </c>
      <c r="B28" s="30">
        <f>IF(A28&lt;=INPUTS!$B$5,"Extraction",IF(A28&lt;=INPUTS!$B$5+INPUTS!$B$6,"Scrub","Strip"))</f>
        <v/>
      </c>
      <c r="C28" s="34">
        <f>IF(A28&lt;=INPUTS!$B$5,INPUTS!$C$18*INPUTS!$B$8^INPUTS!$D$18,IF(A28&lt;=INPUTS!$B$5+INPUTS!$B$6,INPUTS!$C$18*INPUTS!$B$9^INPUTS!$D$18,INPUTS!$C$18*INPUTS!$B$10^INPUTS!$D$18))</f>
        <v/>
      </c>
      <c r="D28" s="34">
        <f>IF(A28=1,0,INPUTS!$B$13)</f>
        <v/>
      </c>
      <c r="E28" s="34">
        <f>IF(A28&gt;INPUTS!$B$5+INPUTS!$B$6,-INPUTS!$B$13-INPUTS!$B$12/C28,IF(A28&gt;INPUTS!$B$5,-INPUTS!$B$13-INPUTS!$B$12*INPUTS!$B$14/C28,-INPUTS!$B$13-(INPUTS!$B$12*INPUTS!$B$14+INPUTS!$B$11)/C28))</f>
        <v/>
      </c>
      <c r="F28" s="34">
        <f>IF(A28&gt;INPUTS!$B$5+INPUTS!$B$6,INPUTS!$B$12/C29,IF(A28&gt;=INPUTS!$B$5,INPUTS!$B$12*INPUTS!$B$14/C29,(INPUTS!$B$12*INPUTS!$B$14+INPUTS!$B$11)/C29))</f>
        <v/>
      </c>
      <c r="G28" s="34">
        <f>IF(A28=INPUTS!$B$5,-INPUTS!$C$25*INPUTS!$B$11,0)</f>
        <v/>
      </c>
      <c r="H28" s="34">
        <f>F28/(E28-D28*H27)</f>
        <v/>
      </c>
      <c r="I28" s="34">
        <f>(G28-D28*I27)/(E28-D28*H27)</f>
        <v/>
      </c>
      <c r="J28" s="34">
        <f>I28-H28*J29</f>
        <v/>
      </c>
      <c r="K28" s="34">
        <f>IF(A28&lt;=INPUTS!$B$5,INPUTS!$C$19*INPUTS!$B$8^INPUTS!$D$19,IF(A28&lt;=INPUTS!$B$5+INPUTS!$B$6,INPUTS!$C$19*INPUTS!$B$9^INPUTS!$D$19,INPUTS!$C$19*INPUTS!$B$10^INPUTS!$D$19))</f>
        <v/>
      </c>
      <c r="L28" s="34">
        <f>IF(A28=1,0,INPUTS!$B$13)</f>
        <v/>
      </c>
      <c r="M28" s="34">
        <f>IF(A28&gt;INPUTS!$B$5+INPUTS!$B$6,-INPUTS!$B$13-INPUTS!$B$12/K28,IF(A28&gt;INPUTS!$B$5,-INPUTS!$B$13-INPUTS!$B$12*INPUTS!$B$14/K28,-INPUTS!$B$13-(INPUTS!$B$12*INPUTS!$B$14+INPUTS!$B$11)/K28))</f>
        <v/>
      </c>
      <c r="N28" s="34">
        <f>IF(A28&gt;INPUTS!$B$5+INPUTS!$B$6,INPUTS!$B$12/K29,IF(A28&gt;=INPUTS!$B$5,INPUTS!$B$12*INPUTS!$B$14/K29,(INPUTS!$B$12*INPUTS!$B$14+INPUTS!$B$11)/K29))</f>
        <v/>
      </c>
      <c r="O28" s="34">
        <f>IF(A28=INPUTS!$B$5,-INPUTS!$C$26*INPUTS!$B$11,0)</f>
        <v/>
      </c>
      <c r="P28" s="34">
        <f>N28/(M28-L28*P27)</f>
        <v/>
      </c>
      <c r="Q28" s="34">
        <f>(O28-L28*Q27)/(M28-L28*P27)</f>
        <v/>
      </c>
      <c r="R28" s="34">
        <f>Q28-P28*R29</f>
        <v/>
      </c>
      <c r="S28" s="34">
        <f>IF(A28&lt;=INPUTS!$B$5,INPUTS!$C$20*INPUTS!$B$8^INPUTS!$D$20,IF(A28&lt;=INPUTS!$B$5+INPUTS!$B$6,INPUTS!$C$20*INPUTS!$B$9^INPUTS!$D$20,INPUTS!$C$20*INPUTS!$B$10^INPUTS!$D$20))</f>
        <v/>
      </c>
      <c r="T28" s="34">
        <f>IF(A28=1,0,INPUTS!$B$13)</f>
        <v/>
      </c>
      <c r="U28" s="34">
        <f>IF(A28&gt;INPUTS!$B$5+INPUTS!$B$6,-INPUTS!$B$13-INPUTS!$B$12/S28,IF(A28&gt;INPUTS!$B$5,-INPUTS!$B$13-INPUTS!$B$12*INPUTS!$B$14/S28,-INPUTS!$B$13-(INPUTS!$B$12*INPUTS!$B$14+INPUTS!$B$11)/S28))</f>
        <v/>
      </c>
      <c r="V28" s="34">
        <f>IF(A28&gt;INPUTS!$B$5+INPUTS!$B$6,INPUTS!$B$12/S29,IF(A28&gt;=INPUTS!$B$5,INPUTS!$B$12*INPUTS!$B$14/S29,(INPUTS!$B$12*INPUTS!$B$14+INPUTS!$B$11)/S29))</f>
        <v/>
      </c>
      <c r="W28" s="34">
        <f>IF(A28=INPUTS!$B$5,-INPUTS!$C$27*INPUTS!$B$11,0)</f>
        <v/>
      </c>
      <c r="X28" s="34">
        <f>V28/(U28-T28*X27)</f>
        <v/>
      </c>
      <c r="Y28" s="34">
        <f>(W28-T28*Y27)/(U28-T28*X27)</f>
        <v/>
      </c>
      <c r="Z28" s="34">
        <f>Y28-X28*Z29</f>
        <v/>
      </c>
      <c r="AA28" s="34">
        <f>IF(A28&lt;=INPUTS!$B$5,INPUTS!$C$21*INPUTS!$B$8^INPUTS!$D$21,IF(A28&lt;=INPUTS!$B$5+INPUTS!$B$6,INPUTS!$C$21*INPUTS!$B$9^INPUTS!$D$21,INPUTS!$C$21*INPUTS!$B$10^INPUTS!$D$21))</f>
        <v/>
      </c>
      <c r="AB28" s="34">
        <f>IF(A28=1,0,INPUTS!$B$13)</f>
        <v/>
      </c>
      <c r="AC28" s="34">
        <f>IF(A28&gt;INPUTS!$B$5+INPUTS!$B$6,-INPUTS!$B$13-INPUTS!$B$12/AA28,IF(A28&gt;INPUTS!$B$5,-INPUTS!$B$13-INPUTS!$B$12*INPUTS!$B$14/AA28,-INPUTS!$B$13-(INPUTS!$B$12*INPUTS!$B$14+INPUTS!$B$11)/AA28))</f>
        <v/>
      </c>
      <c r="AD28" s="34">
        <f>IF(A28&gt;INPUTS!$B$5+INPUTS!$B$6,INPUTS!$B$12/AA29,IF(A28&gt;=INPUTS!$B$5,INPUTS!$B$12*INPUTS!$B$14/AA29,(INPUTS!$B$12*INPUTS!$B$14+INPUTS!$B$11)/AA29))</f>
        <v/>
      </c>
      <c r="AE28" s="34">
        <f>IF(A28=INPUTS!$B$5,-INPUTS!$C$28*INPUTS!$B$11,0)</f>
        <v/>
      </c>
      <c r="AF28" s="34">
        <f>AD28/(AC28-AB28*AF27)</f>
        <v/>
      </c>
      <c r="AG28" s="34">
        <f>(AE28-AB28*AG27)/(AC28-AB28*AF27)</f>
        <v/>
      </c>
      <c r="AH28" s="34">
        <f>AG28-AF28*AH29</f>
        <v/>
      </c>
      <c r="AI28" s="32">
        <f>IF(C28&lt;&gt;0,J28/C28,0)</f>
        <v/>
      </c>
      <c r="AJ28" s="32">
        <f>IF(K28&lt;&gt;0,R28/K28,0)</f>
        <v/>
      </c>
      <c r="AK28" s="32">
        <f>IF(S28&lt;&gt;0,Z28/S28,0)</f>
        <v/>
      </c>
      <c r="AL28" s="32">
        <f>IF(AA28&lt;&gt;0,AH28/AA28,0)</f>
        <v/>
      </c>
      <c r="AM28" s="33">
        <f>J28+R28+Z28+AH28</f>
        <v/>
      </c>
      <c r="AN28" s="33">
        <f>AI28+AJ28+AK28+AL28</f>
        <v/>
      </c>
    </row>
    <row r="29">
      <c r="A29" s="29" t="n">
        <v>25</v>
      </c>
      <c r="B29" s="30">
        <f>IF(A29&lt;=INPUTS!$B$5,"Extraction",IF(A29&lt;=INPUTS!$B$5+INPUTS!$B$6,"Scrub","Strip"))</f>
        <v/>
      </c>
      <c r="C29" s="31">
        <f>IF(A29&lt;=INPUTS!$B$5,INPUTS!$C$18*INPUTS!$B$8^INPUTS!$D$18,IF(A29&lt;=INPUTS!$B$5+INPUTS!$B$6,INPUTS!$C$18*INPUTS!$B$9^INPUTS!$D$18,INPUTS!$C$18*INPUTS!$B$10^INPUTS!$D$18))</f>
        <v/>
      </c>
      <c r="D29" s="31">
        <f>IF(A29=1,0,INPUTS!$B$13)</f>
        <v/>
      </c>
      <c r="E29" s="31">
        <f>IF(A29&gt;INPUTS!$B$5+INPUTS!$B$6,-INPUTS!$B$13-INPUTS!$B$12/C29,IF(A29&gt;INPUTS!$B$5,-INPUTS!$B$13-INPUTS!$B$12*INPUTS!$B$14/C29,-INPUTS!$B$13-(INPUTS!$B$12*INPUTS!$B$14+INPUTS!$B$11)/C29))</f>
        <v/>
      </c>
      <c r="F29" s="31">
        <f>0</f>
        <v/>
      </c>
      <c r="G29" s="31">
        <f>IF(A29=INPUTS!$B$5,-INPUTS!$C$25*INPUTS!$B$11,0)</f>
        <v/>
      </c>
      <c r="H29" s="31">
        <f>F29/(E29-D29*H28)</f>
        <v/>
      </c>
      <c r="I29" s="31">
        <f>(G29-D29*I28)/(E29-D29*H28)</f>
        <v/>
      </c>
      <c r="J29" s="31">
        <f>I29</f>
        <v/>
      </c>
      <c r="K29" s="31">
        <f>IF(A29&lt;=INPUTS!$B$5,INPUTS!$C$19*INPUTS!$B$8^INPUTS!$D$19,IF(A29&lt;=INPUTS!$B$5+INPUTS!$B$6,INPUTS!$C$19*INPUTS!$B$9^INPUTS!$D$19,INPUTS!$C$19*INPUTS!$B$10^INPUTS!$D$19))</f>
        <v/>
      </c>
      <c r="L29" s="31">
        <f>IF(A29=1,0,INPUTS!$B$13)</f>
        <v/>
      </c>
      <c r="M29" s="31">
        <f>IF(A29&gt;INPUTS!$B$5+INPUTS!$B$6,-INPUTS!$B$13-INPUTS!$B$12/K29,IF(A29&gt;INPUTS!$B$5,-INPUTS!$B$13-INPUTS!$B$12*INPUTS!$B$14/K29,-INPUTS!$B$13-(INPUTS!$B$12*INPUTS!$B$14+INPUTS!$B$11)/K29))</f>
        <v/>
      </c>
      <c r="N29" s="31">
        <f>0</f>
        <v/>
      </c>
      <c r="O29" s="31">
        <f>IF(A29=INPUTS!$B$5,-INPUTS!$C$26*INPUTS!$B$11,0)</f>
        <v/>
      </c>
      <c r="P29" s="31">
        <f>N29/(M29-L29*P28)</f>
        <v/>
      </c>
      <c r="Q29" s="31">
        <f>(O29-L29*Q28)/(M29-L29*P28)</f>
        <v/>
      </c>
      <c r="R29" s="31">
        <f>Q29</f>
        <v/>
      </c>
      <c r="S29" s="31">
        <f>IF(A29&lt;=INPUTS!$B$5,INPUTS!$C$20*INPUTS!$B$8^INPUTS!$D$20,IF(A29&lt;=INPUTS!$B$5+INPUTS!$B$6,INPUTS!$C$20*INPUTS!$B$9^INPUTS!$D$20,INPUTS!$C$20*INPUTS!$B$10^INPUTS!$D$20))</f>
        <v/>
      </c>
      <c r="T29" s="31">
        <f>IF(A29=1,0,INPUTS!$B$13)</f>
        <v/>
      </c>
      <c r="U29" s="31">
        <f>IF(A29&gt;INPUTS!$B$5+INPUTS!$B$6,-INPUTS!$B$13-INPUTS!$B$12/S29,IF(A29&gt;INPUTS!$B$5,-INPUTS!$B$13-INPUTS!$B$12*INPUTS!$B$14/S29,-INPUTS!$B$13-(INPUTS!$B$12*INPUTS!$B$14+INPUTS!$B$11)/S29))</f>
        <v/>
      </c>
      <c r="V29" s="31">
        <f>0</f>
        <v/>
      </c>
      <c r="W29" s="31">
        <f>IF(A29=INPUTS!$B$5,-INPUTS!$C$27*INPUTS!$B$11,0)</f>
        <v/>
      </c>
      <c r="X29" s="31">
        <f>V29/(U29-T29*X28)</f>
        <v/>
      </c>
      <c r="Y29" s="31">
        <f>(W29-T29*Y28)/(U29-T29*X28)</f>
        <v/>
      </c>
      <c r="Z29" s="31">
        <f>Y29</f>
        <v/>
      </c>
      <c r="AA29" s="31">
        <f>IF(A29&lt;=INPUTS!$B$5,INPUTS!$C$21*INPUTS!$B$8^INPUTS!$D$21,IF(A29&lt;=INPUTS!$B$5+INPUTS!$B$6,INPUTS!$C$21*INPUTS!$B$9^INPUTS!$D$21,INPUTS!$C$21*INPUTS!$B$10^INPUTS!$D$21))</f>
        <v/>
      </c>
      <c r="AB29" s="31">
        <f>IF(A29=1,0,INPUTS!$B$13)</f>
        <v/>
      </c>
      <c r="AC29" s="31">
        <f>IF(A29&gt;INPUTS!$B$5+INPUTS!$B$6,-INPUTS!$B$13-INPUTS!$B$12/AA29,IF(A29&gt;INPUTS!$B$5,-INPUTS!$B$13-INPUTS!$B$12*INPUTS!$B$14/AA29,-INPUTS!$B$13-(INPUTS!$B$12*INPUTS!$B$14+INPUTS!$B$11)/AA29))</f>
        <v/>
      </c>
      <c r="AD29" s="31">
        <f>0</f>
        <v/>
      </c>
      <c r="AE29" s="31">
        <f>IF(A29=INPUTS!$B$5,-INPUTS!$C$28*INPUTS!$B$11,0)</f>
        <v/>
      </c>
      <c r="AF29" s="31">
        <f>AD29/(AC29-AB29*AF28)</f>
        <v/>
      </c>
      <c r="AG29" s="31">
        <f>(AE29-AB29*AG28)/(AC29-AB29*AF28)</f>
        <v/>
      </c>
      <c r="AH29" s="31">
        <f>AG29</f>
        <v/>
      </c>
      <c r="AI29" s="32">
        <f>IF(C29&lt;&gt;0,J29/C29,0)</f>
        <v/>
      </c>
      <c r="AJ29" s="32">
        <f>IF(K29&lt;&gt;0,R29/K29,0)</f>
        <v/>
      </c>
      <c r="AK29" s="32">
        <f>IF(S29&lt;&gt;0,Z29/S29,0)</f>
        <v/>
      </c>
      <c r="AL29" s="32">
        <f>IF(AA29&lt;&gt;0,AH29/AA29,0)</f>
        <v/>
      </c>
      <c r="AM29" s="33">
        <f>J29+R29+Z29+AH29</f>
        <v/>
      </c>
      <c r="AN29" s="33">
        <f>AI29+AJ29+AK29+AL29</f>
        <v/>
      </c>
    </row>
  </sheetData>
  <mergeCells count="8">
    <mergeCell ref="A2:B2"/>
    <mergeCell ref="AM2:AN2"/>
    <mergeCell ref="S2:Z2"/>
    <mergeCell ref="C2:J2"/>
    <mergeCell ref="K2:R2"/>
    <mergeCell ref="AA2:AH2"/>
    <mergeCell ref="AI2:AL2"/>
    <mergeCell ref="A1:AN1"/>
  </mergeCells>
  <conditionalFormatting sqref="A5:B29">
    <cfRule type="expression" priority="1" dxfId="0" stopIfTrue="0">
      <formula>$A5&gt;INPUTS!$B$5+INPUTS!$B$6</formula>
    </cfRule>
    <cfRule type="expression" priority="2" dxfId="1" stopIfTrue="0">
      <formula>$A5&gt;INPUTS!$B$5</formula>
    </cfRule>
    <cfRule type="expression" priority="3" dxfId="2" stopIfTrue="0">
      <formula>$A5&lt;=INPUTS!$B$5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RESULTS  —  SX Circuit Summary</t>
        </is>
      </c>
    </row>
    <row r="2" ht="8" customHeight="1"/>
    <row r="3" ht="20" customHeight="1">
      <c r="A3" s="2" t="inlineStr">
        <is>
          <t xml:space="preserve">  KEY METRIC</t>
        </is>
      </c>
    </row>
    <row r="4">
      <c r="A4" s="35" t="inlineStr">
        <is>
          <t>Loaded Organic @ Ext Exit (g/L)</t>
        </is>
      </c>
      <c r="B4" s="36">
        <f>INDEX(SOLVER!$AM:$AM,4+INPUTS!$B$5)</f>
        <v/>
      </c>
      <c r="C4" s="37" t="inlineStr">
        <is>
          <t>[Target: 19.05]</t>
        </is>
      </c>
    </row>
    <row r="5" ht="8" customHeight="1"/>
    <row r="6" ht="20" customHeight="1">
      <c r="A6" s="2" t="inlineStr">
        <is>
          <t xml:space="preserve">  COMPOSITIONS &amp; DISTRIBUTIONS</t>
        </is>
      </c>
    </row>
    <row r="7" ht="30" customHeight="1">
      <c r="A7" s="38" t="inlineStr">
        <is>
          <t>Element</t>
        </is>
      </c>
      <c r="B7" s="38" t="inlineStr">
        <is>
          <t>Feed Conc.
(g/L)</t>
        </is>
      </c>
      <c r="C7" s="38" t="inlineStr">
        <is>
          <t>Raff Conc.
(g/L)</t>
        </is>
      </c>
      <c r="D7" s="38" t="inlineStr">
        <is>
          <t>Preg Conc.
(g/L)</t>
        </is>
      </c>
      <c r="E7" s="38" t="inlineStr">
        <is>
          <t>% Feed</t>
        </is>
      </c>
      <c r="F7" s="38" t="inlineStr">
        <is>
          <t>% Raffinate</t>
        </is>
      </c>
      <c r="G7" s="38" t="inlineStr">
        <is>
          <t>% Preg</t>
        </is>
      </c>
    </row>
    <row r="8">
      <c r="A8" s="39" t="inlineStr">
        <is>
          <t>Pr</t>
        </is>
      </c>
      <c r="B8" s="7">
        <f>INPUTS!$C$25</f>
        <v/>
      </c>
      <c r="C8" s="7">
        <f>SOLVER!AI5</f>
        <v/>
      </c>
      <c r="D8" s="7">
        <f>INDEX(SOLVER!$AI:$AI,4+INPUTS!$B$5+INPUTS!$B$6+1)</f>
        <v/>
      </c>
      <c r="E8" s="7">
        <f>IF((INPUTS!$C$25+INPUTS!$C$26+INPUTS!$C$27+INPUTS!$C$28)=0,0,INPUTS!$C$25/(INPUTS!$C$25+INPUTS!$C$26+INPUTS!$C$27+INPUTS!$C$28)*100)</f>
        <v/>
      </c>
      <c r="F8" s="7">
        <f>IF((SOLVER!AI5+SOLVER!AJ5+SOLVER!AK5+SOLVER!AL5)=0,0,SOLVER!AI5/(SOLVER!AI5+SOLVER!AJ5+SOLVER!AK5+SOLVER!AL5)*100)</f>
        <v/>
      </c>
      <c r="G8" s="7">
        <f>IF((INDEX(SOLVER!$AI:$AI,4+INPUTS!$B$5+INPUTS!$B$6+1)+INDEX(SOLVER!$AJ:$AJ,4+INPUTS!$B$5+INPUTS!$B$6+1)+INDEX(SOLVER!$AK:$AK,4+INPUTS!$B$5+INPUTS!$B$6+1)+INDEX(SOLVER!$AL:$AL,4+INPUTS!$B$5+INPUTS!$B$6+1))=0,0,INDEX(SOLVER!$AI:$AI,4+INPUTS!$B$5+INPUTS!$B$6+1)/(INDEX(SOLVER!$AI:$AI,4+INPUTS!$B$5+INPUTS!$B$6+1)+INDEX(SOLVER!$AJ:$AJ,4+INPUTS!$B$5+INPUTS!$B$6+1)+INDEX(SOLVER!$AK:$AK,4+INPUTS!$B$5+INPUTS!$B$6+1)+INDEX(SOLVER!$AL:$AL,4+INPUTS!$B$5+INPUTS!$B$6+1))*100)</f>
        <v/>
      </c>
    </row>
    <row r="9">
      <c r="A9" s="40" t="inlineStr">
        <is>
          <t>Nd</t>
        </is>
      </c>
      <c r="B9" s="5">
        <f>INPUTS!$C$26</f>
        <v/>
      </c>
      <c r="C9" s="5">
        <f>SOLVER!AJ5</f>
        <v/>
      </c>
      <c r="D9" s="5">
        <f>INDEX(SOLVER!$AJ:$AJ,4+INPUTS!$B$5+INPUTS!$B$6+1)</f>
        <v/>
      </c>
      <c r="E9" s="5">
        <f>IF((INPUTS!$C$25+INPUTS!$C$26+INPUTS!$C$27+INPUTS!$C$28)=0,0,INPUTS!$C$26/(INPUTS!$C$25+INPUTS!$C$26+INPUTS!$C$27+INPUTS!$C$28)*100)</f>
        <v/>
      </c>
      <c r="F9" s="5">
        <f>IF((SOLVER!AI5+SOLVER!AJ5+SOLVER!AK5+SOLVER!AL5)=0,0,SOLVER!AJ5/(SOLVER!AI5+SOLVER!AJ5+SOLVER!AK5+SOLVER!AL5)*100)</f>
        <v/>
      </c>
      <c r="G9" s="5">
        <f>IF((INDEX(SOLVER!$AI:$AI,4+INPUTS!$B$5+INPUTS!$B$6+1)+INDEX(SOLVER!$AJ:$AJ,4+INPUTS!$B$5+INPUTS!$B$6+1)+INDEX(SOLVER!$AK:$AK,4+INPUTS!$B$5+INPUTS!$B$6+1)+INDEX(SOLVER!$AL:$AL,4+INPUTS!$B$5+INPUTS!$B$6+1))=0,0,INDEX(SOLVER!$AJ:$AJ,4+INPUTS!$B$5+INPUTS!$B$6+1)/(INDEX(SOLVER!$AI:$AI,4+INPUTS!$B$5+INPUTS!$B$6+1)+INDEX(SOLVER!$AJ:$AJ,4+INPUTS!$B$5+INPUTS!$B$6+1)+INDEX(SOLVER!$AK:$AK,4+INPUTS!$B$5+INPUTS!$B$6+1)+INDEX(SOLVER!$AL:$AL,4+INPUTS!$B$5+INPUTS!$B$6+1))*100)</f>
        <v/>
      </c>
    </row>
    <row r="10">
      <c r="A10" s="39" t="inlineStr">
        <is>
          <t>Tb</t>
        </is>
      </c>
      <c r="B10" s="7">
        <f>INPUTS!$C$27</f>
        <v/>
      </c>
      <c r="C10" s="7">
        <f>SOLVER!AK5</f>
        <v/>
      </c>
      <c r="D10" s="7">
        <f>INDEX(SOLVER!$AK:$AK,4+INPUTS!$B$5+INPUTS!$B$6+1)</f>
        <v/>
      </c>
      <c r="E10" s="7">
        <f>IF((INPUTS!$C$25+INPUTS!$C$26+INPUTS!$C$27+INPUTS!$C$28)=0,0,INPUTS!$C$27/(INPUTS!$C$25+INPUTS!$C$26+INPUTS!$C$27+INPUTS!$C$28)*100)</f>
        <v/>
      </c>
      <c r="F10" s="7">
        <f>IF((SOLVER!AI5+SOLVER!AJ5+SOLVER!AK5+SOLVER!AL5)=0,0,SOLVER!AK5/(SOLVER!AI5+SOLVER!AJ5+SOLVER!AK5+SOLVER!AL5)*100)</f>
        <v/>
      </c>
      <c r="G10" s="7">
        <f>IF((INDEX(SOLVER!$AI:$AI,4+INPUTS!$B$5+INPUTS!$B$6+1)+INDEX(SOLVER!$AJ:$AJ,4+INPUTS!$B$5+INPUTS!$B$6+1)+INDEX(SOLVER!$AK:$AK,4+INPUTS!$B$5+INPUTS!$B$6+1)+INDEX(SOLVER!$AL:$AL,4+INPUTS!$B$5+INPUTS!$B$6+1))=0,0,INDEX(SOLVER!$AK:$AK,4+INPUTS!$B$5+INPUTS!$B$6+1)/(INDEX(SOLVER!$AI:$AI,4+INPUTS!$B$5+INPUTS!$B$6+1)+INDEX(SOLVER!$AJ:$AJ,4+INPUTS!$B$5+INPUTS!$B$6+1)+INDEX(SOLVER!$AK:$AK,4+INPUTS!$B$5+INPUTS!$B$6+1)+INDEX(SOLVER!$AL:$AL,4+INPUTS!$B$5+INPUTS!$B$6+1))*100)</f>
        <v/>
      </c>
    </row>
    <row r="11">
      <c r="A11" s="40" t="inlineStr">
        <is>
          <t>Dy</t>
        </is>
      </c>
      <c r="B11" s="5">
        <f>INPUTS!$C$28</f>
        <v/>
      </c>
      <c r="C11" s="5">
        <f>SOLVER!AL5</f>
        <v/>
      </c>
      <c r="D11" s="5">
        <f>INDEX(SOLVER!$AL:$AL,4+INPUTS!$B$5+INPUTS!$B$6+1)</f>
        <v/>
      </c>
      <c r="E11" s="5">
        <f>IF((INPUTS!$C$25+INPUTS!$C$26+INPUTS!$C$27+INPUTS!$C$28)=0,0,INPUTS!$C$28/(INPUTS!$C$25+INPUTS!$C$26+INPUTS!$C$27+INPUTS!$C$28)*100)</f>
        <v/>
      </c>
      <c r="F11" s="5">
        <f>IF((SOLVER!AI5+SOLVER!AJ5+SOLVER!AK5+SOLVER!AL5)=0,0,SOLVER!AL5/(SOLVER!AI5+SOLVER!AJ5+SOLVER!AK5+SOLVER!AL5)*100)</f>
        <v/>
      </c>
      <c r="G11" s="5">
        <f>IF((INDEX(SOLVER!$AI:$AI,4+INPUTS!$B$5+INPUTS!$B$6+1)+INDEX(SOLVER!$AJ:$AJ,4+INPUTS!$B$5+INPUTS!$B$6+1)+INDEX(SOLVER!$AK:$AK,4+INPUTS!$B$5+INPUTS!$B$6+1)+INDEX(SOLVER!$AL:$AL,4+INPUTS!$B$5+INPUTS!$B$6+1))=0,0,INDEX(SOLVER!$AL:$AL,4+INPUTS!$B$5+INPUTS!$B$6+1)/(INDEX(SOLVER!$AI:$AI,4+INPUTS!$B$5+INPUTS!$B$6+1)+INDEX(SOLVER!$AJ:$AJ,4+INPUTS!$B$5+INPUTS!$B$6+1)+INDEX(SOLVER!$AK:$AK,4+INPUTS!$B$5+INPUTS!$B$6+1)+INDEX(SOLVER!$AL:$AL,4+INPUTS!$B$5+INPUTS!$B$6+1))*100)</f>
        <v/>
      </c>
    </row>
    <row r="13" ht="8" customHeight="1"/>
    <row r="14" ht="20" customHeight="1">
      <c r="A14" s="2" t="inlineStr">
        <is>
          <t xml:space="preserve">  STAGE PROFILE  (pulled from SOLVER — used for charts)</t>
        </is>
      </c>
    </row>
    <row r="15" ht="30" customHeight="1">
      <c r="A15" s="38" t="inlineStr">
        <is>
          <t>Stage</t>
        </is>
      </c>
      <c r="B15" s="38" t="inlineStr">
        <is>
          <t>Section</t>
        </is>
      </c>
      <c r="C15" s="38" t="inlineStr">
        <is>
          <t>x_Pr</t>
        </is>
      </c>
      <c r="D15" s="38" t="inlineStr">
        <is>
          <t>x_Nd</t>
        </is>
      </c>
      <c r="E15" s="38" t="inlineStr">
        <is>
          <t>x_Tb</t>
        </is>
      </c>
      <c r="F15" s="38" t="inlineStr">
        <is>
          <t>x_Dy</t>
        </is>
      </c>
      <c r="G15" s="38" t="inlineStr">
        <is>
          <t>x_NdPr (grouped)</t>
        </is>
      </c>
      <c r="H15" s="3" t="inlineStr">
        <is>
          <t>%_NdPr</t>
        </is>
      </c>
      <c r="I15" s="3" t="inlineStr">
        <is>
          <t>%_Dy</t>
        </is>
      </c>
    </row>
    <row r="16">
      <c r="A16" s="41" t="n">
        <v>1</v>
      </c>
      <c r="B16" s="41" t="inlineStr">
        <is>
          <t>Extraction</t>
        </is>
      </c>
      <c r="C16" s="42">
        <f>SOLVER!AI5</f>
        <v/>
      </c>
      <c r="D16" s="42">
        <f>SOLVER!AJ5</f>
        <v/>
      </c>
      <c r="E16" s="42">
        <f>SOLVER!AK5</f>
        <v/>
      </c>
      <c r="F16" s="42">
        <f>SOLVER!AL5</f>
        <v/>
      </c>
      <c r="G16" s="43">
        <f>C16+D16</f>
        <v/>
      </c>
      <c r="H16" s="7">
        <f>IF((C16+D16+E16+F16)=0,0,(C16+D16)/(C16+D16+E16+F16)*100)</f>
        <v/>
      </c>
      <c r="I16" s="7">
        <f>IF((C16+D16+E16+F16)=0,0,F16/(C16+D16+E16+F16)*100)</f>
        <v/>
      </c>
    </row>
    <row r="17">
      <c r="A17" s="11" t="n">
        <v>2</v>
      </c>
      <c r="B17" s="11" t="inlineStr">
        <is>
          <t>Extraction</t>
        </is>
      </c>
      <c r="C17" s="12">
        <f>SOLVER!AI6</f>
        <v/>
      </c>
      <c r="D17" s="12">
        <f>SOLVER!AJ6</f>
        <v/>
      </c>
      <c r="E17" s="12">
        <f>SOLVER!AK6</f>
        <v/>
      </c>
      <c r="F17" s="12">
        <f>SOLVER!AL6</f>
        <v/>
      </c>
      <c r="G17" s="43">
        <f>C17+D17</f>
        <v/>
      </c>
      <c r="H17" s="7">
        <f>IF((C17+D17+E17+F17)=0,0,(C17+D17)/(C17+D17+E17+F17)*100)</f>
        <v/>
      </c>
      <c r="I17" s="7">
        <f>IF((C17+D17+E17+F17)=0,0,F17/(C17+D17+E17+F17)*100)</f>
        <v/>
      </c>
    </row>
    <row r="18">
      <c r="A18" s="41" t="n">
        <v>3</v>
      </c>
      <c r="B18" s="41" t="inlineStr">
        <is>
          <t>Extraction</t>
        </is>
      </c>
      <c r="C18" s="42">
        <f>SOLVER!AI7</f>
        <v/>
      </c>
      <c r="D18" s="42">
        <f>SOLVER!AJ7</f>
        <v/>
      </c>
      <c r="E18" s="42">
        <f>SOLVER!AK7</f>
        <v/>
      </c>
      <c r="F18" s="42">
        <f>SOLVER!AL7</f>
        <v/>
      </c>
      <c r="G18" s="43">
        <f>C18+D18</f>
        <v/>
      </c>
      <c r="H18" s="7">
        <f>IF((C18+D18+E18+F18)=0,0,(C18+D18)/(C18+D18+E18+F18)*100)</f>
        <v/>
      </c>
      <c r="I18" s="7">
        <f>IF((C18+D18+E18+F18)=0,0,F18/(C18+D18+E18+F18)*100)</f>
        <v/>
      </c>
    </row>
    <row r="19">
      <c r="A19" s="11" t="n">
        <v>4</v>
      </c>
      <c r="B19" s="11" t="inlineStr">
        <is>
          <t>Extraction</t>
        </is>
      </c>
      <c r="C19" s="12">
        <f>SOLVER!AI8</f>
        <v/>
      </c>
      <c r="D19" s="12">
        <f>SOLVER!AJ8</f>
        <v/>
      </c>
      <c r="E19" s="12">
        <f>SOLVER!AK8</f>
        <v/>
      </c>
      <c r="F19" s="12">
        <f>SOLVER!AL8</f>
        <v/>
      </c>
      <c r="G19" s="43">
        <f>C19+D19</f>
        <v/>
      </c>
      <c r="H19" s="7">
        <f>IF((C19+D19+E19+F19)=0,0,(C19+D19)/(C19+D19+E19+F19)*100)</f>
        <v/>
      </c>
      <c r="I19" s="7">
        <f>IF((C19+D19+E19+F19)=0,0,F19/(C19+D19+E19+F19)*100)</f>
        <v/>
      </c>
    </row>
    <row r="20">
      <c r="A20" s="41" t="n">
        <v>5</v>
      </c>
      <c r="B20" s="41" t="inlineStr">
        <is>
          <t>Extraction</t>
        </is>
      </c>
      <c r="C20" s="42">
        <f>SOLVER!AI9</f>
        <v/>
      </c>
      <c r="D20" s="42">
        <f>SOLVER!AJ9</f>
        <v/>
      </c>
      <c r="E20" s="42">
        <f>SOLVER!AK9</f>
        <v/>
      </c>
      <c r="F20" s="42">
        <f>SOLVER!AL9</f>
        <v/>
      </c>
      <c r="G20" s="43">
        <f>C20+D20</f>
        <v/>
      </c>
      <c r="H20" s="7">
        <f>IF((C20+D20+E20+F20)=0,0,(C20+D20)/(C20+D20+E20+F20)*100)</f>
        <v/>
      </c>
      <c r="I20" s="7">
        <f>IF((C20+D20+E20+F20)=0,0,F20/(C20+D20+E20+F20)*100)</f>
        <v/>
      </c>
    </row>
    <row r="21">
      <c r="A21" s="11" t="n">
        <v>6</v>
      </c>
      <c r="B21" s="11" t="inlineStr">
        <is>
          <t>Extraction</t>
        </is>
      </c>
      <c r="C21" s="12">
        <f>SOLVER!AI10</f>
        <v/>
      </c>
      <c r="D21" s="12">
        <f>SOLVER!AJ10</f>
        <v/>
      </c>
      <c r="E21" s="12">
        <f>SOLVER!AK10</f>
        <v/>
      </c>
      <c r="F21" s="12">
        <f>SOLVER!AL10</f>
        <v/>
      </c>
      <c r="G21" s="43">
        <f>C21+D21</f>
        <v/>
      </c>
      <c r="H21" s="7">
        <f>IF((C21+D21+E21+F21)=0,0,(C21+D21)/(C21+D21+E21+F21)*100)</f>
        <v/>
      </c>
      <c r="I21" s="7">
        <f>IF((C21+D21+E21+F21)=0,0,F21/(C21+D21+E21+F21)*100)</f>
        <v/>
      </c>
    </row>
    <row r="22">
      <c r="A22" s="41" t="n">
        <v>7</v>
      </c>
      <c r="B22" s="41" t="inlineStr">
        <is>
          <t>Extraction</t>
        </is>
      </c>
      <c r="C22" s="42">
        <f>SOLVER!AI11</f>
        <v/>
      </c>
      <c r="D22" s="42">
        <f>SOLVER!AJ11</f>
        <v/>
      </c>
      <c r="E22" s="42">
        <f>SOLVER!AK11</f>
        <v/>
      </c>
      <c r="F22" s="42">
        <f>SOLVER!AL11</f>
        <v/>
      </c>
      <c r="G22" s="43">
        <f>C22+D22</f>
        <v/>
      </c>
      <c r="H22" s="7">
        <f>IF((C22+D22+E22+F22)=0,0,(C22+D22)/(C22+D22+E22+F22)*100)</f>
        <v/>
      </c>
      <c r="I22" s="7">
        <f>IF((C22+D22+E22+F22)=0,0,F22/(C22+D22+E22+F22)*100)</f>
        <v/>
      </c>
    </row>
    <row r="23">
      <c r="A23" s="11" t="n">
        <v>8</v>
      </c>
      <c r="B23" s="11" t="inlineStr">
        <is>
          <t>Extraction</t>
        </is>
      </c>
      <c r="C23" s="12">
        <f>SOLVER!AI12</f>
        <v/>
      </c>
      <c r="D23" s="12">
        <f>SOLVER!AJ12</f>
        <v/>
      </c>
      <c r="E23" s="12">
        <f>SOLVER!AK12</f>
        <v/>
      </c>
      <c r="F23" s="12">
        <f>SOLVER!AL12</f>
        <v/>
      </c>
      <c r="G23" s="43">
        <f>C23+D23</f>
        <v/>
      </c>
      <c r="H23" s="7">
        <f>IF((C23+D23+E23+F23)=0,0,(C23+D23)/(C23+D23+E23+F23)*100)</f>
        <v/>
      </c>
      <c r="I23" s="7">
        <f>IF((C23+D23+E23+F23)=0,0,F23/(C23+D23+E23+F23)*100)</f>
        <v/>
      </c>
    </row>
    <row r="24">
      <c r="A24" s="41" t="n">
        <v>9</v>
      </c>
      <c r="B24" s="41" t="inlineStr">
        <is>
          <t>Extraction</t>
        </is>
      </c>
      <c r="C24" s="42">
        <f>SOLVER!AI13</f>
        <v/>
      </c>
      <c r="D24" s="42">
        <f>SOLVER!AJ13</f>
        <v/>
      </c>
      <c r="E24" s="42">
        <f>SOLVER!AK13</f>
        <v/>
      </c>
      <c r="F24" s="42">
        <f>SOLVER!AL13</f>
        <v/>
      </c>
      <c r="G24" s="43">
        <f>C24+D24</f>
        <v/>
      </c>
      <c r="H24" s="7">
        <f>IF((C24+D24+E24+F24)=0,0,(C24+D24)/(C24+D24+E24+F24)*100)</f>
        <v/>
      </c>
      <c r="I24" s="7">
        <f>IF((C24+D24+E24+F24)=0,0,F24/(C24+D24+E24+F24)*100)</f>
        <v/>
      </c>
    </row>
    <row r="25">
      <c r="A25" s="11" t="n">
        <v>10</v>
      </c>
      <c r="B25" s="11" t="inlineStr">
        <is>
          <t>Extraction</t>
        </is>
      </c>
      <c r="C25" s="12">
        <f>SOLVER!AI14</f>
        <v/>
      </c>
      <c r="D25" s="12">
        <f>SOLVER!AJ14</f>
        <v/>
      </c>
      <c r="E25" s="12">
        <f>SOLVER!AK14</f>
        <v/>
      </c>
      <c r="F25" s="12">
        <f>SOLVER!AL14</f>
        <v/>
      </c>
      <c r="G25" s="43">
        <f>C25+D25</f>
        <v/>
      </c>
      <c r="H25" s="7">
        <f>IF((C25+D25+E25+F25)=0,0,(C25+D25)/(C25+D25+E25+F25)*100)</f>
        <v/>
      </c>
      <c r="I25" s="7">
        <f>IF((C25+D25+E25+F25)=0,0,F25/(C25+D25+E25+F25)*100)</f>
        <v/>
      </c>
    </row>
    <row r="26">
      <c r="A26" s="44" t="n">
        <v>11</v>
      </c>
      <c r="B26" s="44" t="inlineStr">
        <is>
          <t>Scrub</t>
        </is>
      </c>
      <c r="C26" s="45">
        <f>SOLVER!AI15</f>
        <v/>
      </c>
      <c r="D26" s="45">
        <f>SOLVER!AJ15</f>
        <v/>
      </c>
      <c r="E26" s="45">
        <f>SOLVER!AK15</f>
        <v/>
      </c>
      <c r="F26" s="45">
        <f>SOLVER!AL15</f>
        <v/>
      </c>
      <c r="G26" s="43">
        <f>C26+D26</f>
        <v/>
      </c>
      <c r="H26" s="7">
        <f>IF((C26+D26+E26+F26)=0,0,(C26+D26)/(C26+D26+E26+F26)*100)</f>
        <v/>
      </c>
      <c r="I26" s="7">
        <f>IF((C26+D26+E26+F26)=0,0,F26/(C26+D26+E26+F26)*100)</f>
        <v/>
      </c>
    </row>
    <row r="27">
      <c r="A27" s="11" t="n">
        <v>12</v>
      </c>
      <c r="B27" s="11" t="inlineStr">
        <is>
          <t>Scrub</t>
        </is>
      </c>
      <c r="C27" s="12">
        <f>SOLVER!AI16</f>
        <v/>
      </c>
      <c r="D27" s="12">
        <f>SOLVER!AJ16</f>
        <v/>
      </c>
      <c r="E27" s="12">
        <f>SOLVER!AK16</f>
        <v/>
      </c>
      <c r="F27" s="12">
        <f>SOLVER!AL16</f>
        <v/>
      </c>
      <c r="G27" s="43">
        <f>C27+D27</f>
        <v/>
      </c>
      <c r="H27" s="7">
        <f>IF((C27+D27+E27+F27)=0,0,(C27+D27)/(C27+D27+E27+F27)*100)</f>
        <v/>
      </c>
      <c r="I27" s="7">
        <f>IF((C27+D27+E27+F27)=0,0,F27/(C27+D27+E27+F27)*100)</f>
        <v/>
      </c>
    </row>
    <row r="28">
      <c r="A28" s="44" t="n">
        <v>13</v>
      </c>
      <c r="B28" s="44" t="inlineStr">
        <is>
          <t>Scrub</t>
        </is>
      </c>
      <c r="C28" s="45">
        <f>SOLVER!AI17</f>
        <v/>
      </c>
      <c r="D28" s="45">
        <f>SOLVER!AJ17</f>
        <v/>
      </c>
      <c r="E28" s="45">
        <f>SOLVER!AK17</f>
        <v/>
      </c>
      <c r="F28" s="45">
        <f>SOLVER!AL17</f>
        <v/>
      </c>
      <c r="G28" s="43">
        <f>C28+D28</f>
        <v/>
      </c>
      <c r="H28" s="7">
        <f>IF((C28+D28+E28+F28)=0,0,(C28+D28)/(C28+D28+E28+F28)*100)</f>
        <v/>
      </c>
      <c r="I28" s="7">
        <f>IF((C28+D28+E28+F28)=0,0,F28/(C28+D28+E28+F28)*100)</f>
        <v/>
      </c>
    </row>
    <row r="29">
      <c r="A29" s="11" t="n">
        <v>14</v>
      </c>
      <c r="B29" s="11" t="inlineStr">
        <is>
          <t>Scrub</t>
        </is>
      </c>
      <c r="C29" s="12">
        <f>SOLVER!AI18</f>
        <v/>
      </c>
      <c r="D29" s="12">
        <f>SOLVER!AJ18</f>
        <v/>
      </c>
      <c r="E29" s="12">
        <f>SOLVER!AK18</f>
        <v/>
      </c>
      <c r="F29" s="12">
        <f>SOLVER!AL18</f>
        <v/>
      </c>
      <c r="G29" s="43">
        <f>C29+D29</f>
        <v/>
      </c>
      <c r="H29" s="7">
        <f>IF((C29+D29+E29+F29)=0,0,(C29+D29)/(C29+D29+E29+F29)*100)</f>
        <v/>
      </c>
      <c r="I29" s="7">
        <f>IF((C29+D29+E29+F29)=0,0,F29/(C29+D29+E29+F29)*100)</f>
        <v/>
      </c>
    </row>
    <row r="30">
      <c r="A30" s="44" t="n">
        <v>15</v>
      </c>
      <c r="B30" s="44" t="inlineStr">
        <is>
          <t>Scrub</t>
        </is>
      </c>
      <c r="C30" s="45">
        <f>SOLVER!AI19</f>
        <v/>
      </c>
      <c r="D30" s="45">
        <f>SOLVER!AJ19</f>
        <v/>
      </c>
      <c r="E30" s="45">
        <f>SOLVER!AK19</f>
        <v/>
      </c>
      <c r="F30" s="45">
        <f>SOLVER!AL19</f>
        <v/>
      </c>
      <c r="G30" s="43">
        <f>C30+D30</f>
        <v/>
      </c>
      <c r="H30" s="7">
        <f>IF((C30+D30+E30+F30)=0,0,(C30+D30)/(C30+D30+E30+F30)*100)</f>
        <v/>
      </c>
      <c r="I30" s="7">
        <f>IF((C30+D30+E30+F30)=0,0,F30/(C30+D30+E30+F30)*100)</f>
        <v/>
      </c>
    </row>
    <row r="31">
      <c r="A31" s="11" t="n">
        <v>16</v>
      </c>
      <c r="B31" s="11" t="inlineStr">
        <is>
          <t>Scrub</t>
        </is>
      </c>
      <c r="C31" s="12">
        <f>SOLVER!AI20</f>
        <v/>
      </c>
      <c r="D31" s="12">
        <f>SOLVER!AJ20</f>
        <v/>
      </c>
      <c r="E31" s="12">
        <f>SOLVER!AK20</f>
        <v/>
      </c>
      <c r="F31" s="12">
        <f>SOLVER!AL20</f>
        <v/>
      </c>
      <c r="G31" s="43">
        <f>C31+D31</f>
        <v/>
      </c>
      <c r="H31" s="7">
        <f>IF((C31+D31+E31+F31)=0,0,(C31+D31)/(C31+D31+E31+F31)*100)</f>
        <v/>
      </c>
      <c r="I31" s="7">
        <f>IF((C31+D31+E31+F31)=0,0,F31/(C31+D31+E31+F31)*100)</f>
        <v/>
      </c>
    </row>
    <row r="32">
      <c r="A32" s="44" t="n">
        <v>17</v>
      </c>
      <c r="B32" s="44" t="inlineStr">
        <is>
          <t>Scrub</t>
        </is>
      </c>
      <c r="C32" s="45">
        <f>SOLVER!AI21</f>
        <v/>
      </c>
      <c r="D32" s="45">
        <f>SOLVER!AJ21</f>
        <v/>
      </c>
      <c r="E32" s="45">
        <f>SOLVER!AK21</f>
        <v/>
      </c>
      <c r="F32" s="45">
        <f>SOLVER!AL21</f>
        <v/>
      </c>
      <c r="G32" s="43">
        <f>C32+D32</f>
        <v/>
      </c>
      <c r="H32" s="7">
        <f>IF((C32+D32+E32+F32)=0,0,(C32+D32)/(C32+D32+E32+F32)*100)</f>
        <v/>
      </c>
      <c r="I32" s="7">
        <f>IF((C32+D32+E32+F32)=0,0,F32/(C32+D32+E32+F32)*100)</f>
        <v/>
      </c>
    </row>
    <row r="33">
      <c r="A33" s="11" t="n">
        <v>18</v>
      </c>
      <c r="B33" s="11" t="inlineStr">
        <is>
          <t>Scrub</t>
        </is>
      </c>
      <c r="C33" s="12">
        <f>SOLVER!AI22</f>
        <v/>
      </c>
      <c r="D33" s="12">
        <f>SOLVER!AJ22</f>
        <v/>
      </c>
      <c r="E33" s="12">
        <f>SOLVER!AK22</f>
        <v/>
      </c>
      <c r="F33" s="12">
        <f>SOLVER!AL22</f>
        <v/>
      </c>
      <c r="G33" s="43">
        <f>C33+D33</f>
        <v/>
      </c>
      <c r="H33" s="7">
        <f>IF((C33+D33+E33+F33)=0,0,(C33+D33)/(C33+D33+E33+F33)*100)</f>
        <v/>
      </c>
      <c r="I33" s="7">
        <f>IF((C33+D33+E33+F33)=0,0,F33/(C33+D33+E33+F33)*100)</f>
        <v/>
      </c>
    </row>
    <row r="34">
      <c r="A34" s="44" t="n">
        <v>19</v>
      </c>
      <c r="B34" s="44" t="inlineStr">
        <is>
          <t>Scrub</t>
        </is>
      </c>
      <c r="C34" s="45">
        <f>SOLVER!AI23</f>
        <v/>
      </c>
      <c r="D34" s="45">
        <f>SOLVER!AJ23</f>
        <v/>
      </c>
      <c r="E34" s="45">
        <f>SOLVER!AK23</f>
        <v/>
      </c>
      <c r="F34" s="45">
        <f>SOLVER!AL23</f>
        <v/>
      </c>
      <c r="G34" s="43">
        <f>C34+D34</f>
        <v/>
      </c>
      <c r="H34" s="7">
        <f>IF((C34+D34+E34+F34)=0,0,(C34+D34)/(C34+D34+E34+F34)*100)</f>
        <v/>
      </c>
      <c r="I34" s="7">
        <f>IF((C34+D34+E34+F34)=0,0,F34/(C34+D34+E34+F34)*100)</f>
        <v/>
      </c>
    </row>
    <row r="35">
      <c r="A35" s="11" t="n">
        <v>20</v>
      </c>
      <c r="B35" s="11" t="inlineStr">
        <is>
          <t>Scrub</t>
        </is>
      </c>
      <c r="C35" s="12">
        <f>SOLVER!AI24</f>
        <v/>
      </c>
      <c r="D35" s="12">
        <f>SOLVER!AJ24</f>
        <v/>
      </c>
      <c r="E35" s="12">
        <f>SOLVER!AK24</f>
        <v/>
      </c>
      <c r="F35" s="12">
        <f>SOLVER!AL24</f>
        <v/>
      </c>
      <c r="G35" s="43">
        <f>C35+D35</f>
        <v/>
      </c>
      <c r="H35" s="7">
        <f>IF((C35+D35+E35+F35)=0,0,(C35+D35)/(C35+D35+E35+F35)*100)</f>
        <v/>
      </c>
      <c r="I35" s="7">
        <f>IF((C35+D35+E35+F35)=0,0,F35/(C35+D35+E35+F35)*100)</f>
        <v/>
      </c>
    </row>
    <row r="36">
      <c r="A36" s="46" t="n">
        <v>21</v>
      </c>
      <c r="B36" s="46" t="inlineStr">
        <is>
          <t>Strip</t>
        </is>
      </c>
      <c r="C36" s="47">
        <f>SOLVER!AI25</f>
        <v/>
      </c>
      <c r="D36" s="47">
        <f>SOLVER!AJ25</f>
        <v/>
      </c>
      <c r="E36" s="47">
        <f>SOLVER!AK25</f>
        <v/>
      </c>
      <c r="F36" s="47">
        <f>SOLVER!AL25</f>
        <v/>
      </c>
      <c r="G36" s="43">
        <f>C36+D36</f>
        <v/>
      </c>
      <c r="H36" s="7">
        <f>IF((C36+D36+E36+F36)=0,0,(C36+D36)/(C36+D36+E36+F36)*100)</f>
        <v/>
      </c>
      <c r="I36" s="7">
        <f>IF((C36+D36+E36+F36)=0,0,F36/(C36+D36+E36+F36)*100)</f>
        <v/>
      </c>
    </row>
    <row r="37">
      <c r="A37" s="11" t="n">
        <v>22</v>
      </c>
      <c r="B37" s="11" t="inlineStr">
        <is>
          <t>Strip</t>
        </is>
      </c>
      <c r="C37" s="12">
        <f>SOLVER!AI26</f>
        <v/>
      </c>
      <c r="D37" s="12">
        <f>SOLVER!AJ26</f>
        <v/>
      </c>
      <c r="E37" s="12">
        <f>SOLVER!AK26</f>
        <v/>
      </c>
      <c r="F37" s="12">
        <f>SOLVER!AL26</f>
        <v/>
      </c>
      <c r="G37" s="43">
        <f>C37+D37</f>
        <v/>
      </c>
      <c r="H37" s="7">
        <f>IF((C37+D37+E37+F37)=0,0,(C37+D37)/(C37+D37+E37+F37)*100)</f>
        <v/>
      </c>
      <c r="I37" s="7">
        <f>IF((C37+D37+E37+F37)=0,0,F37/(C37+D37+E37+F37)*100)</f>
        <v/>
      </c>
    </row>
    <row r="38">
      <c r="A38" s="46" t="n">
        <v>23</v>
      </c>
      <c r="B38" s="46" t="inlineStr">
        <is>
          <t>Strip</t>
        </is>
      </c>
      <c r="C38" s="47">
        <f>SOLVER!AI27</f>
        <v/>
      </c>
      <c r="D38" s="47">
        <f>SOLVER!AJ27</f>
        <v/>
      </c>
      <c r="E38" s="47">
        <f>SOLVER!AK27</f>
        <v/>
      </c>
      <c r="F38" s="47">
        <f>SOLVER!AL27</f>
        <v/>
      </c>
      <c r="G38" s="43">
        <f>C38+D38</f>
        <v/>
      </c>
      <c r="H38" s="7">
        <f>IF((C38+D38+E38+F38)=0,0,(C38+D38)/(C38+D38+E38+F38)*100)</f>
        <v/>
      </c>
      <c r="I38" s="7">
        <f>IF((C38+D38+E38+F38)=0,0,F38/(C38+D38+E38+F38)*100)</f>
        <v/>
      </c>
    </row>
    <row r="39">
      <c r="A39" s="11" t="n">
        <v>24</v>
      </c>
      <c r="B39" s="11" t="inlineStr">
        <is>
          <t>Strip</t>
        </is>
      </c>
      <c r="C39" s="12">
        <f>SOLVER!AI28</f>
        <v/>
      </c>
      <c r="D39" s="12">
        <f>SOLVER!AJ28</f>
        <v/>
      </c>
      <c r="E39" s="12">
        <f>SOLVER!AK28</f>
        <v/>
      </c>
      <c r="F39" s="12">
        <f>SOLVER!AL28</f>
        <v/>
      </c>
      <c r="G39" s="43">
        <f>C39+D39</f>
        <v/>
      </c>
      <c r="H39" s="7">
        <f>IF((C39+D39+E39+F39)=0,0,(C39+D39)/(C39+D39+E39+F39)*100)</f>
        <v/>
      </c>
      <c r="I39" s="7">
        <f>IF((C39+D39+E39+F39)=0,0,F39/(C39+D39+E39+F39)*100)</f>
        <v/>
      </c>
    </row>
    <row r="40">
      <c r="A40" s="46" t="n">
        <v>25</v>
      </c>
      <c r="B40" s="46" t="inlineStr">
        <is>
          <t>Strip</t>
        </is>
      </c>
      <c r="C40" s="47">
        <f>SOLVER!AI29</f>
        <v/>
      </c>
      <c r="D40" s="47">
        <f>SOLVER!AJ29</f>
        <v/>
      </c>
      <c r="E40" s="47">
        <f>SOLVER!AK29</f>
        <v/>
      </c>
      <c r="F40" s="47">
        <f>SOLVER!AL29</f>
        <v/>
      </c>
      <c r="G40" s="43">
        <f>C40+D40</f>
        <v/>
      </c>
      <c r="H40" s="7">
        <f>IF((C40+D40+E40+F40)=0,0,(C40+D40)/(C40+D40+E40+F40)*100)</f>
        <v/>
      </c>
      <c r="I40" s="7">
        <f>IF((C40+D40+E40+F40)=0,0,F40/(C40+D40+E40+F40)*100)</f>
        <v/>
      </c>
    </row>
  </sheetData>
  <mergeCells count="4">
    <mergeCell ref="A3:G3"/>
    <mergeCell ref="A6:G6"/>
    <mergeCell ref="A1:G1"/>
    <mergeCell ref="A14:G1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2026-06-30T06:06:59Z</dcterms:created>
  <dcterms:modified xsi:type="dcterms:W3CDTF">2026-06-30T06:06:59Z</dcterms:modified>
</cp:coreProperties>
</file>